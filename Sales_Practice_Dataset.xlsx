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hidePivotFieldList="1"/>
  <mc:AlternateContent xmlns:mc="http://schemas.openxmlformats.org/markup-compatibility/2006">
    <mc:Choice Requires="x15">
      <x15ac:absPath xmlns:x15ac="http://schemas.microsoft.com/office/spreadsheetml/2010/11/ac" url="/Users/darshan/Documents/EXCEL PROJECT/"/>
    </mc:Choice>
  </mc:AlternateContent>
  <xr:revisionPtr revIDLastSave="0" documentId="13_ncr:1_{B6FD8D49-07E3-B340-8EB6-5477F35ACF90}" xr6:coauthVersionLast="47" xr6:coauthVersionMax="47" xr10:uidLastSave="{00000000-0000-0000-0000-000000000000}"/>
  <bookViews>
    <workbookView xWindow="0" yWindow="660" windowWidth="29400" windowHeight="16980" activeTab="2" xr2:uid="{00000000-000D-0000-FFFF-FFFF00000000}"/>
  </bookViews>
  <sheets>
    <sheet name="Qustion" sheetId="2" r:id="rId1"/>
    <sheet name="Sales Data" sheetId="1" r:id="rId2"/>
    <sheet name="Dashboard" sheetId="10" r:id="rId3"/>
    <sheet name="Advanced Formulas" sheetId="6" r:id="rId4"/>
    <sheet name="Data Analysis &amp; Summarization" sheetId="8" r:id="rId5"/>
    <sheet name="Conditional Formatting" sheetId="7" r:id="rId6"/>
    <sheet name="Insights &amp; Recommendations" sheetId="11" r:id="rId7"/>
    <sheet name="Pivot Analysis" sheetId="9" r:id="rId8"/>
  </sheets>
  <definedNames>
    <definedName name="NativeTimeline_Order_Date">#N/A</definedName>
    <definedName name="Slicer_Category">#N/A</definedName>
    <definedName name="Slicer_Region">#N/A</definedName>
  </definedNames>
  <calcPr calcId="191029"/>
  <pivotCaches>
    <pivotCache cacheId="22"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M11" i="10" l="1"/>
  <c r="I11" i="10"/>
  <c r="E11" i="10"/>
  <c r="B16" i="8"/>
  <c r="B17" i="8"/>
  <c r="B15" i="8"/>
  <c r="E7" i="8"/>
  <c r="E8" i="8"/>
  <c r="E9" i="8"/>
  <c r="B8" i="8"/>
  <c r="B9" i="8"/>
  <c r="B10" i="8"/>
  <c r="B7" i="8"/>
  <c r="E20" i="6"/>
  <c r="E23" i="6"/>
  <c r="D10" i="6"/>
  <c r="F10" i="6" s="1"/>
  <c r="D11" i="6"/>
  <c r="E11" i="6" s="1"/>
  <c r="D12" i="6"/>
  <c r="E12" i="6" s="1"/>
  <c r="D13" i="6"/>
  <c r="E13" i="6" s="1"/>
  <c r="D14" i="6"/>
  <c r="F14" i="6" s="1"/>
  <c r="D15" i="6"/>
  <c r="F15" i="6" s="1"/>
  <c r="D16" i="6"/>
  <c r="F16" i="6" s="1"/>
  <c r="D17" i="6"/>
  <c r="E17" i="6" s="1"/>
  <c r="D18" i="6"/>
  <c r="E18" i="6" s="1"/>
  <c r="D19" i="6"/>
  <c r="E19" i="6" s="1"/>
  <c r="D20" i="6"/>
  <c r="F20" i="6" s="1"/>
  <c r="D21" i="6"/>
  <c r="E21" i="6" s="1"/>
  <c r="D22" i="6"/>
  <c r="E22" i="6" s="1"/>
  <c r="D23" i="6"/>
  <c r="D24" i="6"/>
  <c r="E24" i="6" s="1"/>
  <c r="D25" i="6"/>
  <c r="E25" i="6" s="1"/>
  <c r="D26" i="6"/>
  <c r="F26" i="6" s="1"/>
  <c r="D27" i="6"/>
  <c r="E27" i="6" s="1"/>
  <c r="D28" i="6"/>
  <c r="E28" i="6" s="1"/>
  <c r="C10" i="6"/>
  <c r="C11" i="6"/>
  <c r="C12" i="6"/>
  <c r="C13" i="6"/>
  <c r="C14" i="6"/>
  <c r="C15" i="6"/>
  <c r="C16" i="6"/>
  <c r="C17" i="6"/>
  <c r="C18" i="6"/>
  <c r="C19" i="6"/>
  <c r="C20" i="6"/>
  <c r="C21" i="6"/>
  <c r="C22" i="6"/>
  <c r="C23" i="6"/>
  <c r="C24" i="6"/>
  <c r="C25" i="6"/>
  <c r="C26" i="6"/>
  <c r="C27" i="6"/>
  <c r="C28" i="6"/>
  <c r="B5" i="6"/>
  <c r="B6" i="6"/>
  <c r="B7" i="6"/>
  <c r="B8" i="6"/>
  <c r="B9" i="6"/>
  <c r="B10" i="6"/>
  <c r="B11" i="6"/>
  <c r="B12" i="6"/>
  <c r="B13" i="6"/>
  <c r="B14" i="6"/>
  <c r="B15" i="6"/>
  <c r="B16" i="6"/>
  <c r="B17" i="6"/>
  <c r="B18" i="6"/>
  <c r="B19" i="6"/>
  <c r="B20" i="6"/>
  <c r="B21" i="6"/>
  <c r="B22" i="6"/>
  <c r="B23" i="6"/>
  <c r="B24" i="6"/>
  <c r="B25" i="6"/>
  <c r="B26" i="6"/>
  <c r="B27" i="6"/>
  <c r="B28" i="6"/>
  <c r="D9" i="6"/>
  <c r="F9" i="6" s="1"/>
  <c r="C9" i="6"/>
  <c r="D5" i="6"/>
  <c r="F5" i="6" s="1"/>
  <c r="D6" i="6"/>
  <c r="F6" i="6" s="1"/>
  <c r="D7" i="6"/>
  <c r="F7" i="6" s="1"/>
  <c r="D8" i="6"/>
  <c r="F8" i="6" s="1"/>
  <c r="D4" i="6"/>
  <c r="F4" i="6" s="1"/>
  <c r="C5" i="6"/>
  <c r="C6" i="6"/>
  <c r="C7" i="6"/>
  <c r="C8" i="6"/>
  <c r="C4" i="6"/>
  <c r="B4" i="6"/>
  <c r="F24" i="6" l="1"/>
  <c r="E14" i="6"/>
  <c r="E10" i="6"/>
  <c r="F25" i="6"/>
  <c r="E7" i="6"/>
  <c r="E4" i="6"/>
  <c r="E26" i="6"/>
  <c r="E16" i="6"/>
  <c r="E6" i="6"/>
  <c r="E9" i="6"/>
  <c r="E8" i="6"/>
  <c r="E15" i="6"/>
  <c r="E5" i="6"/>
  <c r="F23" i="6"/>
  <c r="F13" i="6"/>
  <c r="F19" i="6"/>
  <c r="F28" i="6"/>
  <c r="F18" i="6"/>
  <c r="F27" i="6"/>
  <c r="F17" i="6"/>
  <c r="F22" i="6"/>
  <c r="F12" i="6"/>
  <c r="F21" i="6"/>
  <c r="F11" i="6"/>
</calcChain>
</file>

<file path=xl/sharedStrings.xml><?xml version="1.0" encoding="utf-8"?>
<sst xmlns="http://schemas.openxmlformats.org/spreadsheetml/2006/main" count="3302" uniqueCount="524">
  <si>
    <t>Order ID</t>
  </si>
  <si>
    <t>Order Date</t>
  </si>
  <si>
    <t>Customer Name</t>
  </si>
  <si>
    <t>City</t>
  </si>
  <si>
    <t>Region</t>
  </si>
  <si>
    <t>Category</t>
  </si>
  <si>
    <t>Product Name</t>
  </si>
  <si>
    <t>Quantity</t>
  </si>
  <si>
    <t>Unit Price (₹)</t>
  </si>
  <si>
    <t>Discount (%)</t>
  </si>
  <si>
    <t>Total Amount (₹)</t>
  </si>
  <si>
    <t>Payment Method</t>
  </si>
  <si>
    <t>ORD-1001</t>
  </si>
  <si>
    <t>Sunita Singh</t>
  </si>
  <si>
    <t>Mumbai</t>
  </si>
  <si>
    <t>West</t>
  </si>
  <si>
    <t>Books</t>
  </si>
  <si>
    <t>Textbook</t>
  </si>
  <si>
    <t>Cash</t>
  </si>
  <si>
    <t>ORD-1002</t>
  </si>
  <si>
    <t>Meena Pillai</t>
  </si>
  <si>
    <t>Delhi</t>
  </si>
  <si>
    <t>North</t>
  </si>
  <si>
    <t>Toys</t>
  </si>
  <si>
    <t>Lego Set</t>
  </si>
  <si>
    <t>Credit Card</t>
  </si>
  <si>
    <t>ORD-1003</t>
  </si>
  <si>
    <t>Divya Pandey</t>
  </si>
  <si>
    <t>Sports</t>
  </si>
  <si>
    <t>Cycle</t>
  </si>
  <si>
    <t>UPI</t>
  </si>
  <si>
    <t>ORD-1004</t>
  </si>
  <si>
    <t>Deepak Yadav</t>
  </si>
  <si>
    <t>Furniture</t>
  </si>
  <si>
    <t>Cabinet</t>
  </si>
  <si>
    <t>ORD-1005</t>
  </si>
  <si>
    <t>Suresh Nair</t>
  </si>
  <si>
    <t>Clothing</t>
  </si>
  <si>
    <t>Kurta</t>
  </si>
  <si>
    <t>Net Banking</t>
  </si>
  <si>
    <t>ORD-1006</t>
  </si>
  <si>
    <t>Priya Patel</t>
  </si>
  <si>
    <t>Surat</t>
  </si>
  <si>
    <t>ORD-1007</t>
  </si>
  <si>
    <t>Rohit Malhotra</t>
  </si>
  <si>
    <t>Chennai</t>
  </si>
  <si>
    <t>South</t>
  </si>
  <si>
    <t>T-Shirt</t>
  </si>
  <si>
    <t>ORD-1008</t>
  </si>
  <si>
    <t>Manoj Tiwari</t>
  </si>
  <si>
    <t>Kolkata</t>
  </si>
  <si>
    <t>East</t>
  </si>
  <si>
    <t>Stationery</t>
  </si>
  <si>
    <t>Highlighter</t>
  </si>
  <si>
    <t>Debit Card</t>
  </si>
  <si>
    <t>ORD-1009</t>
  </si>
  <si>
    <t>Shelf</t>
  </si>
  <si>
    <t>ORD-1010</t>
  </si>
  <si>
    <t>Kitchen</t>
  </si>
  <si>
    <t>Mixer</t>
  </si>
  <si>
    <t>ORD-1011</t>
  </si>
  <si>
    <t>Amit Verma</t>
  </si>
  <si>
    <t>Pressure Cooker</t>
  </si>
  <si>
    <t>ORD-1012</t>
  </si>
  <si>
    <t>Bangalore</t>
  </si>
  <si>
    <t>ORD-1013</t>
  </si>
  <si>
    <t>Pune</t>
  </si>
  <si>
    <t>ORD-1014</t>
  </si>
  <si>
    <t>ORD-1015</t>
  </si>
  <si>
    <t>Arun Kapoor</t>
  </si>
  <si>
    <t>Ahmedabad</t>
  </si>
  <si>
    <t>Cookbook</t>
  </si>
  <si>
    <t>ORD-1016</t>
  </si>
  <si>
    <t>Dictionary</t>
  </si>
  <si>
    <t>ORD-1017</t>
  </si>
  <si>
    <t>Neha Gupta</t>
  </si>
  <si>
    <t>Shoes</t>
  </si>
  <si>
    <t>ORD-1018</t>
  </si>
  <si>
    <t>Pooja Iyer</t>
  </si>
  <si>
    <t>Electronics</t>
  </si>
  <si>
    <t>Smart Watch</t>
  </si>
  <si>
    <t>ORD-1019</t>
  </si>
  <si>
    <t>Kavita Shah</t>
  </si>
  <si>
    <t>Mobile Phone</t>
  </si>
  <si>
    <t>ORD-1020</t>
  </si>
  <si>
    <t>ORD-1021</t>
  </si>
  <si>
    <t>Dumbbells</t>
  </si>
  <si>
    <t>ORD-1022</t>
  </si>
  <si>
    <t>Vikram Reddy</t>
  </si>
  <si>
    <t>Jeans</t>
  </si>
  <si>
    <t>ORD-1023</t>
  </si>
  <si>
    <t>Cricket Bat</t>
  </si>
  <si>
    <t>ORD-1024</t>
  </si>
  <si>
    <t>Badminton Set</t>
  </si>
  <si>
    <t>ORD-1025</t>
  </si>
  <si>
    <t>Yoga Mat</t>
  </si>
  <si>
    <t>ORD-1026</t>
  </si>
  <si>
    <t>Rekha Desai</t>
  </si>
  <si>
    <t>Hyderabad</t>
  </si>
  <si>
    <t>Puzzle</t>
  </si>
  <si>
    <t>ORD-1027</t>
  </si>
  <si>
    <t>ORD-1028</t>
  </si>
  <si>
    <t>ORD-1029</t>
  </si>
  <si>
    <t>Laptop</t>
  </si>
  <si>
    <t>ORD-1030</t>
  </si>
  <si>
    <t>Ravi Mehta</t>
  </si>
  <si>
    <t>ORD-1031</t>
  </si>
  <si>
    <t>Pen Set</t>
  </si>
  <si>
    <t>ORD-1032</t>
  </si>
  <si>
    <t>ORD-1033</t>
  </si>
  <si>
    <t>ORD-1034</t>
  </si>
  <si>
    <t>Jaipur</t>
  </si>
  <si>
    <t>ORD-1035</t>
  </si>
  <si>
    <t>Kadai</t>
  </si>
  <si>
    <t>ORD-1036</t>
  </si>
  <si>
    <t>Vijay Kumar</t>
  </si>
  <si>
    <t>Stapler</t>
  </si>
  <si>
    <t>ORD-1037</t>
  </si>
  <si>
    <t>ORD-1038</t>
  </si>
  <si>
    <t>Bed Frame</t>
  </si>
  <si>
    <t>ORD-1039</t>
  </si>
  <si>
    <t>ORD-1040</t>
  </si>
  <si>
    <t>ORD-1041</t>
  </si>
  <si>
    <t>Sneha Bhatt</t>
  </si>
  <si>
    <t>ORD-1042</t>
  </si>
  <si>
    <t>ORD-1043</t>
  </si>
  <si>
    <t>Rahul Sharma</t>
  </si>
  <si>
    <t>ORD-1044</t>
  </si>
  <si>
    <t>Doll</t>
  </si>
  <si>
    <t>ORD-1045</t>
  </si>
  <si>
    <t>Saree</t>
  </si>
  <si>
    <t>ORD-1046</t>
  </si>
  <si>
    <t>ORD-1047</t>
  </si>
  <si>
    <t>ORD-1048</t>
  </si>
  <si>
    <t>ORD-1049</t>
  </si>
  <si>
    <t>Action Figure</t>
  </si>
  <si>
    <t>ORD-1050</t>
  </si>
  <si>
    <t>Novel</t>
  </si>
  <si>
    <t>ORD-1051</t>
  </si>
  <si>
    <t>ORD-1052</t>
  </si>
  <si>
    <t>ORD-1053</t>
  </si>
  <si>
    <t>ORD-1054</t>
  </si>
  <si>
    <t>Table</t>
  </si>
  <si>
    <t>ORD-1055</t>
  </si>
  <si>
    <t>Board Game</t>
  </si>
  <si>
    <t>ORD-1056</t>
  </si>
  <si>
    <t>Plate Set</t>
  </si>
  <si>
    <t>ORD-1057</t>
  </si>
  <si>
    <t>ORD-1058</t>
  </si>
  <si>
    <t>Football</t>
  </si>
  <si>
    <t>ORD-1059</t>
  </si>
  <si>
    <t>ORD-1060</t>
  </si>
  <si>
    <t>ORD-1061</t>
  </si>
  <si>
    <t>ORD-1062</t>
  </si>
  <si>
    <t>ORD-1063</t>
  </si>
  <si>
    <t>ORD-1064</t>
  </si>
  <si>
    <t>Notebook</t>
  </si>
  <si>
    <t>ORD-1065</t>
  </si>
  <si>
    <t>ORD-1066</t>
  </si>
  <si>
    <t>ORD-1067</t>
  </si>
  <si>
    <t>ORD-1068</t>
  </si>
  <si>
    <t>ORD-1069</t>
  </si>
  <si>
    <t>Tablet</t>
  </si>
  <si>
    <t>ORD-1070</t>
  </si>
  <si>
    <t>ORD-1071</t>
  </si>
  <si>
    <t>Headphones</t>
  </si>
  <si>
    <t>ORD-1072</t>
  </si>
  <si>
    <t>ORD-1073</t>
  </si>
  <si>
    <t>ORD-1074</t>
  </si>
  <si>
    <t>ORD-1075</t>
  </si>
  <si>
    <t>Comic</t>
  </si>
  <si>
    <t>ORD-1076</t>
  </si>
  <si>
    <t>ORD-1077</t>
  </si>
  <si>
    <t>ORD-1078</t>
  </si>
  <si>
    <t>ORD-1079</t>
  </si>
  <si>
    <t>Knife Set</t>
  </si>
  <si>
    <t>ORD-1080</t>
  </si>
  <si>
    <t>Calculator</t>
  </si>
  <si>
    <t>ORD-1081</t>
  </si>
  <si>
    <t>ORD-1082</t>
  </si>
  <si>
    <t>ORD-1083</t>
  </si>
  <si>
    <t>ORD-1084</t>
  </si>
  <si>
    <t>ORD-1085</t>
  </si>
  <si>
    <t>Anjali Joshi</t>
  </si>
  <si>
    <t>ORD-1086</t>
  </si>
  <si>
    <t>ORD-1087</t>
  </si>
  <si>
    <t>ORD-1088</t>
  </si>
  <si>
    <t>ORD-1089</t>
  </si>
  <si>
    <t>Sofa</t>
  </si>
  <si>
    <t>ORD-1090</t>
  </si>
  <si>
    <t>ORD-1091</t>
  </si>
  <si>
    <t>ORD-1092</t>
  </si>
  <si>
    <t>ORD-1093</t>
  </si>
  <si>
    <t>ORD-1094</t>
  </si>
  <si>
    <t>ORD-1095</t>
  </si>
  <si>
    <t>ORD-1096</t>
  </si>
  <si>
    <t>ORD-1097</t>
  </si>
  <si>
    <t>ORD-1098</t>
  </si>
  <si>
    <t>ORD-1099</t>
  </si>
  <si>
    <t>ORD-1100</t>
  </si>
  <si>
    <t>ORD-1101</t>
  </si>
  <si>
    <t>ORD-1102</t>
  </si>
  <si>
    <t>Folder</t>
  </si>
  <si>
    <t>ORD-1103</t>
  </si>
  <si>
    <t>ORD-1104</t>
  </si>
  <si>
    <t>ORD-1105</t>
  </si>
  <si>
    <t>ORD-1106</t>
  </si>
  <si>
    <t>ORD-1107</t>
  </si>
  <si>
    <t>ORD-1108</t>
  </si>
  <si>
    <t>ORD-1109</t>
  </si>
  <si>
    <t>ORD-1110</t>
  </si>
  <si>
    <t>ORD-1111</t>
  </si>
  <si>
    <t>Chair</t>
  </si>
  <si>
    <t>ORD-1112</t>
  </si>
  <si>
    <t>ORD-1113</t>
  </si>
  <si>
    <t>Glass Set</t>
  </si>
  <si>
    <t>ORD-1114</t>
  </si>
  <si>
    <t>ORD-1115</t>
  </si>
  <si>
    <t>ORD-1116</t>
  </si>
  <si>
    <t>Jacket</t>
  </si>
  <si>
    <t>ORD-1117</t>
  </si>
  <si>
    <t>ORD-1118</t>
  </si>
  <si>
    <t>ORD-1119</t>
  </si>
  <si>
    <t>ORD-1120</t>
  </si>
  <si>
    <t>ORD-1121</t>
  </si>
  <si>
    <t>ORD-1122</t>
  </si>
  <si>
    <t>ORD-1123</t>
  </si>
  <si>
    <t>Self-Help</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</si>
  <si>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</si>
  <si>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</si>
  <si>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</si>
  <si>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</si>
  <si>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</si>
  <si>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</si>
  <si>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</si>
  <si>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</si>
  <si>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</si>
  <si>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</si>
  <si>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</si>
  <si>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</si>
  <si>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</si>
  <si>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</si>
  <si>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</si>
  <si>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</si>
  <si>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</si>
  <si>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</si>
  <si>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</si>
  <si>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</si>
  <si>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</si>
  <si>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</si>
  <si>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</si>
  <si>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</si>
  <si>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</si>
  <si>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</si>
  <si>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Remote Car</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</si>
  <si>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</si>
  <si>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</si>
  <si>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</si>
  <si>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</si>
  <si>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</si>
  <si>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</si>
  <si>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</si>
  <si>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</si>
  <si>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</si>
  <si>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</si>
  <si>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</si>
  <si>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</si>
  <si>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</si>
  <si>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</si>
  <si>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</si>
  <si>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</si>
  <si>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</si>
  <si>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</si>
  <si>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</si>
  <si>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</si>
  <si>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</si>
  <si>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</si>
  <si>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</si>
  <si>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</si>
  <si>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</si>
  <si>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</si>
  <si>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</si>
  <si>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</si>
  <si>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</si>
  <si>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</si>
  <si>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</si>
  <si>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</si>
  <si>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</si>
  <si>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</si>
  <si>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Charger</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</si>
  <si>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</si>
  <si>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</si>
  <si>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</si>
  <si>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</si>
  <si>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</si>
  <si>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</si>
  <si>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</si>
  <si>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</si>
  <si>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</si>
  <si>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</si>
  <si>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</si>
  <si>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</si>
  <si>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</si>
  <si>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</si>
  <si>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</si>
  <si>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</si>
  <si>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</si>
  <si>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</si>
  <si>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</si>
  <si>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</si>
  <si>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</si>
  <si>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</si>
  <si>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</si>
  <si>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</si>
  <si>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</si>
  <si>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</si>
  <si>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</si>
  <si>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</si>
  <si>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</si>
  <si>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</si>
  <si>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</si>
  <si>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</si>
  <si>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</si>
  <si>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</si>
  <si>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</si>
  <si>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</si>
  <si>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</si>
  <si>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</si>
  <si>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</si>
  <si>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</si>
  <si>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</si>
  <si>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</si>
  <si>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</si>
  <si>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</si>
  <si>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</si>
  <si>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</si>
  <si>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</si>
  <si>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</si>
  <si>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</si>
  <si>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</si>
  <si>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</si>
  <si>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</si>
  <si>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</si>
  <si>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</si>
  <si>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</si>
  <si>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</si>
  <si>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</si>
  <si>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</si>
  <si>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</si>
  <si>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</si>
  <si>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</si>
  <si>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</si>
  <si>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</si>
  <si>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</si>
  <si>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</si>
  <si>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</si>
  <si>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</si>
  <si>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</si>
  <si>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</si>
  <si>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</si>
  <si>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</si>
  <si>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</si>
  <si>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</si>
  <si>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</si>
  <si>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</si>
  <si>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</si>
  <si>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</si>
  <si>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</si>
  <si>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</si>
  <si>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</si>
  <si>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</si>
  <si>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</si>
  <si>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</si>
  <si>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</si>
  <si>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</si>
  <si>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</si>
  <si>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</si>
  <si>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</si>
  <si>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</si>
  <si>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</si>
  <si>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</si>
  <si>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</si>
  <si>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</si>
  <si>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</si>
  <si>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</si>
  <si>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</si>
  <si>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</si>
  <si>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</si>
  <si>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</si>
  <si>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</si>
  <si>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</si>
  <si>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</si>
  <si>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</si>
  <si>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</si>
  <si>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</si>
  <si>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</si>
  <si>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</si>
  <si>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</si>
  <si>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</si>
  <si>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</si>
  <si>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</si>
  <si>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</si>
  <si>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</si>
  <si>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</si>
  <si>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</si>
  <si>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</si>
  <si>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</si>
  <si>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</si>
  <si>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</si>
  <si>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</si>
  <si>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</si>
  <si>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</si>
  <si>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</si>
  <si>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</si>
  <si>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</si>
  <si>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</si>
  <si>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</si>
  <si>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</si>
  <si>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</si>
  <si>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</si>
  <si>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</si>
  <si>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</si>
  <si>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</si>
  <si>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</si>
  <si>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</si>
  <si>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</si>
  <si>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</si>
  <si>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</si>
  <si>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</si>
  <si>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</si>
  <si>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</si>
  <si>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</si>
  <si>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</si>
  <si>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</si>
  <si>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</si>
  <si>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</si>
  <si>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</si>
  <si>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</si>
  <si>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</si>
  <si>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</si>
  <si>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</si>
  <si>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</si>
  <si>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</si>
  <si>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</si>
  <si>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</si>
  <si>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</si>
  <si>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</si>
  <si>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</si>
  <si>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</si>
  <si>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</si>
  <si>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</si>
  <si>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</si>
  <si>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</si>
  <si>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</si>
  <si>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</si>
  <si>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</si>
  <si>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</si>
  <si>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Darshan Patil</t>
  </si>
  <si>
    <t>Mukesh Patil</t>
  </si>
  <si>
    <t>Raj Patil</t>
  </si>
  <si>
    <t>Yash Patel</t>
  </si>
  <si>
    <t>Sr. No.</t>
  </si>
  <si>
    <t>Task Description</t>
  </si>
  <si>
    <t>Skills Tested</t>
  </si>
  <si>
    <t>Time Estimate Min</t>
  </si>
  <si>
    <t>Weightage</t>
  </si>
  <si>
    <t>Dataset Selection &amp; Import</t>
  </si>
  <si>
    <t>Data Import, Initial Cleaning</t>
  </si>
  <si>
    <t>Data Cleaning &amp; Preparation</t>
  </si>
  <si>
    <t>Remove duplicates, Handle missing values, Format data types</t>
  </si>
  <si>
    <t>Create Pivot Tables</t>
  </si>
  <si>
    <t>Data Analysis, Summarization</t>
  </si>
  <si>
    <t>Advanced Formulas</t>
  </si>
  <si>
    <t>VLOOKUP, INDEX-MATCH, IF conditions, nested functions</t>
  </si>
  <si>
    <t>Data Visualization</t>
  </si>
  <si>
    <t>Charts, Conditional Formatting</t>
  </si>
  <si>
    <t>Interactive Dashboard</t>
  </si>
  <si>
    <t>Slicers, Timeline, Dynamic ranges</t>
  </si>
  <si>
    <t>Documentation</t>
  </si>
  <si>
    <t>Sheet organization, Naming conventions, Instructions</t>
  </si>
  <si>
    <t>Grand Total</t>
  </si>
  <si>
    <t>Sum of Total Amount (₹)</t>
  </si>
  <si>
    <t>Apr</t>
  </si>
  <si>
    <t>May</t>
  </si>
  <si>
    <t>Jun</t>
  </si>
  <si>
    <t>Advanced Formula Analysis</t>
  </si>
  <si>
    <t>City (VLOOKUP)</t>
  </si>
  <si>
    <t>Region (INDEX-MATCH)</t>
  </si>
  <si>
    <t>Total Amount</t>
  </si>
  <si>
    <t>Status</t>
  </si>
  <si>
    <t>Rating</t>
  </si>
  <si>
    <t>Conditional Formatting</t>
  </si>
  <si>
    <t>DATA ANALYSIS &amp; SUMMARIZATION REPORT</t>
  </si>
  <si>
    <t>Total Sales</t>
  </si>
  <si>
    <t>Region-wise Sales</t>
  </si>
  <si>
    <t>Category-wise Sales</t>
  </si>
  <si>
    <t>Payment Method Summary</t>
  </si>
  <si>
    <t>Total Orders</t>
  </si>
  <si>
    <t>Highest Sales Region</t>
  </si>
  <si>
    <t>Highest Sales Category</t>
  </si>
  <si>
    <t>Key Insights</t>
  </si>
  <si>
    <t>Most Used Payment Method</t>
  </si>
  <si>
    <t>Highest Sales Amount</t>
  </si>
  <si>
    <t>Lowest Sales Region</t>
  </si>
  <si>
    <t>Business Summary</t>
  </si>
  <si>
    <t>• The West region recorded the highest sales of ₹5,057,053.95.</t>
  </si>
  <si>
    <t>• The East region generated the lowest sales among all regions.</t>
  </si>
  <si>
    <t>• Furniture was the best-performing category with sales of ₹2,228,334.05.</t>
  </si>
  <si>
    <t>• Cash was the most preferred payment method with 87 orders.</t>
  </si>
  <si>
    <t>• The sales data indicates strong customer demand for Furniture products.</t>
  </si>
  <si>
    <t>• The company should focus on improving sales in the East region while expanding the Furniture category.</t>
  </si>
  <si>
    <t>Count of Order ID</t>
  </si>
  <si>
    <t>Average Order Value</t>
  </si>
  <si>
    <t>Months</t>
  </si>
  <si>
    <t>Jan</t>
  </si>
  <si>
    <t>Feb</t>
  </si>
  <si>
    <t>Mar</t>
  </si>
  <si>
    <t>Jul</t>
  </si>
  <si>
    <t>Aug</t>
  </si>
  <si>
    <t>Sep</t>
  </si>
  <si>
    <t>Oct</t>
  </si>
  <si>
    <t>Nov</t>
  </si>
  <si>
    <t>Dec</t>
  </si>
  <si>
    <t>Apex Sales Corporation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</si>
</sst>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6"/>
      <color theme="1"/>
      <name val="Calibri"/>
      <family val="2"/>
      <scheme val="minor"/>
    </font>
    <font>
      <b/>
      <sz val="16"/>
      <color theme="1"/>
      <name val="Calibri (Body)"/>
    </font>
    <font>
      <b/>
      <sz val="16"/>
      <color theme="1"/>
      <name val="Calibri"/>
      <family val="2"/>
      <scheme val="minor"/>
    </font>
    <font>
      <sz val="12"/>
      <color theme="1"/>
      <name val="Helvetica"/>
      <family val="2"/>
    </font>
    <font>
      <b/>
      <sz val="12"/>
      <color theme="1"/>
      <name val="Helvetica"/>
      <family val="2"/>
    </font>
    <font>
      <b/>
      <sz val="11"/>
      <color theme="1"/>
      <name val="Calibri"/>
      <family val="2"/>
      <scheme val="minor"/>
    </font>
    <font>
      <sz val="20"/>
      <color theme="1"/>
      <name val="Calibri (Body)"/>
    </font>
    <font>
      <sz val="20"/>
      <color theme="2"/>
      <name val="Calibri (Body)"/>
    </font>
    <font>
      <sz val="11"/>
      <color theme="2"/>
      <name val="Calibri"/>
      <family val="2"/>
      <scheme val="minor"/>
    </font>
    <font>
      <sz val="18"/>
      <color theme="1"/>
      <name val="Calibri"/>
      <family val="2"/>
      <scheme val="minor"/>
    </font>
    <font>
      <b/>
      <sz val="20"/>
      <color theme="1"/>
      <name val="Calibri"/>
      <family val="2"/>
      <scheme val="minor"/>
    </font>
    <font>
      <sz val="20"/>
      <color theme="1"/>
      <name val="Calibri"/>
      <family val="2"/>
      <scheme val="minor"/>
    </font>
    <font>
      <sz val="22"/>
      <color theme="1"/>
      <name val="Calibri"/>
      <family val="2"/>
      <scheme val="minor"/>
    </font>
    <font>
      <sz val="22"/>
      <color theme="1"/>
      <name val="Calibri (Body)"/>
    </font>
    <font>
      <sz val="20"/>
      <color rgb="FF000000"/>
      <name val="Calibri"/>
      <family val="2"/>
      <scheme val="minor"/>
    </font>
    <font>
      <sz val="11"/>
      <color rgb="FF000000"/>
      <name val="Calibri"/>
      <family val="2"/>
      <scheme val="minor"/>
    </font>
    <font>
      <sz val="18"/>
      <color rgb="FF000000"/>
      <name val="Calibri"/>
      <family val="2"/>
      <scheme val="minor"/>
    </font>
    <font>
      <sz val="72"/>
      <color theme="0"/>
      <name val="Calibri (Body)"/>
    </font>
  </fonts>
  <fills count="8">
    <fill>
      <patternFill patternType="none"/>
    </fill>
    <fill>
      <patternFill patternType="gray125"/>
    </fill>
    <fill>
      <patternFill patternType="solid">
        <fgColor theme="2" tint="-0.249977111117893"/>
        <bgColor indexed="64"/>
      </patternFill>
    </fill>
    <fill>
      <patternFill patternType="solid">
        <fgColor rgb="FFFFFF00"/>
        <bgColor indexed="64"/>
      </patternFill>
    </fill>
    <fill>
      <patternFill patternType="solid">
        <fgColor theme="4"/>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rgb="FFFFFF00"/>
        <bgColor rgb="FF000000"/>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s>
  <cellStyleXfs count="1">
    <xf numFmtId="0" fontId="0" fillId="0" borderId="0"/>
  </cellStyleXfs>
  <cellXfs count="81">
    <xf numFmtId="0" fontId="0" fillId="0" borderId="0" xfId="0"/>
    <xf numFmtId="0" fontId="0" fillId="0" borderId="1" xfId="0" applyBorder="1" applyAlignment="1">
      <alignment horizontal="center"/>
    </xf>
    <xf numFmtId="14" fontId="0" fillId="0" borderId="1" xfId="0" applyNumberFormat="1" applyBorder="1" applyAlignment="1">
      <alignment horizontal="center"/>
    </xf>
    <xf numFmtId="1" fontId="0" fillId="0" borderId="1" xfId="0" applyNumberFormat="1" applyBorder="1" applyAlignment="1">
      <alignment horizontal="center"/>
    </xf>
    <xf numFmtId="0" fontId="1" fillId="0" borderId="0" xfId="0" applyFont="1"/>
    <xf numFmtId="0" fontId="2" fillId="0" borderId="0" xfId="0" applyFont="1" applyAlignment="1">
      <alignment horizontal="center"/>
    </xf>
    <xf numFmtId="14" fontId="2" fillId="0" borderId="0" xfId="0" applyNumberFormat="1" applyFont="1" applyAlignment="1">
      <alignment horizontal="center"/>
    </xf>
    <xf numFmtId="0" fontId="3" fillId="0" borderId="0" xfId="0" applyFont="1" applyAlignment="1">
      <alignment horizontal="center"/>
    </xf>
    <xf numFmtId="1" fontId="3" fillId="0" borderId="0" xfId="0" applyNumberFormat="1" applyFont="1" applyAlignment="1">
      <alignment horizontal="center"/>
    </xf>
    <xf numFmtId="2" fontId="3" fillId="0" borderId="0" xfId="0" applyNumberFormat="1" applyFont="1" applyAlignment="1">
      <alignment horizontal="center"/>
    </xf>
    <xf numFmtId="10" fontId="0" fillId="0" borderId="1" xfId="0" applyNumberFormat="1" applyBorder="1" applyAlignment="1">
      <alignment horizontal="center"/>
    </xf>
    <xf numFmtId="1" fontId="0" fillId="0" borderId="2" xfId="0" applyNumberFormat="1" applyBorder="1" applyAlignment="1">
      <alignment horizontal="center"/>
    </xf>
    <xf numFmtId="2" fontId="0" fillId="0" borderId="4" xfId="0" applyNumberFormat="1" applyBorder="1" applyAlignment="1">
      <alignment horizontal="center"/>
    </xf>
    <xf numFmtId="10" fontId="1" fillId="0" borderId="1" xfId="0" applyNumberFormat="1" applyFont="1" applyBorder="1" applyAlignment="1">
      <alignment horizontal="center"/>
    </xf>
    <xf numFmtId="0" fontId="4" fillId="0" borderId="0" xfId="0" applyFont="1"/>
    <xf numFmtId="0" fontId="4" fillId="0" borderId="1" xfId="0" applyFont="1" applyBorder="1" applyAlignment="1">
      <alignment horizontal="center"/>
    </xf>
    <xf numFmtId="10" fontId="4" fillId="0" borderId="1" xfId="0" applyNumberFormat="1" applyFont="1" applyBorder="1" applyAlignment="1">
      <alignment horizontal="center"/>
    </xf>
    <xf numFmtId="0" fontId="4" fillId="0" borderId="1" xfId="0" applyFont="1" applyBorder="1" applyAlignment="1">
      <alignment horizontal="left"/>
    </xf>
    <xf numFmtId="0" fontId="0" fillId="0" borderId="0" xfId="0" applyAlignment="1">
      <alignment horizontal="left"/>
    </xf>
    <xf numFmtId="0" fontId="5" fillId="0" borderId="0" xfId="0" applyFont="1"/>
    <xf numFmtId="0" fontId="6" fillId="0" borderId="0" xfId="0" applyFont="1"/>
    <xf numFmtId="0" fontId="5" fillId="2" borderId="1" xfId="0" applyFont="1" applyFill="1" applyBorder="1" applyAlignment="1">
      <alignment horizontal="center"/>
    </xf>
    <xf numFmtId="0" fontId="5" fillId="2" borderId="1" xfId="0" applyFont="1" applyFill="1" applyBorder="1" applyAlignment="1">
      <alignment horizontal="left"/>
    </xf>
    <xf numFmtId="0" fontId="0" fillId="0" borderId="0" xfId="0" pivotButton="1"/>
    <xf numFmtId="0" fontId="6" fillId="3" borderId="1" xfId="0" applyFont="1" applyFill="1" applyBorder="1" applyAlignment="1">
      <alignment horizontal="center"/>
    </xf>
    <xf numFmtId="0" fontId="2" fillId="0" borderId="1" xfId="0" applyFont="1" applyBorder="1" applyAlignment="1">
      <alignment horizontal="center"/>
    </xf>
    <xf numFmtId="0" fontId="3" fillId="0" borderId="1" xfId="0" applyFont="1" applyBorder="1" applyAlignment="1">
      <alignment horizontal="center"/>
    </xf>
    <xf numFmtId="2" fontId="3" fillId="0" borderId="1" xfId="0" applyNumberFormat="1" applyFont="1" applyBorder="1" applyAlignment="1">
      <alignment horizontal="center"/>
    </xf>
    <xf numFmtId="0" fontId="11" fillId="0" borderId="1" xfId="0" applyFont="1" applyBorder="1" applyAlignment="1">
      <alignment horizontal="center"/>
    </xf>
    <xf numFmtId="0" fontId="12" fillId="0" borderId="1" xfId="0" applyFont="1" applyBorder="1" applyAlignment="1">
      <alignment horizontal="center"/>
    </xf>
    <xf numFmtId="0" fontId="1" fillId="0" borderId="1" xfId="0" applyFont="1" applyBorder="1" applyAlignment="1">
      <alignment horizontal="center"/>
    </xf>
    <xf numFmtId="0" fontId="10" fillId="0" borderId="0" xfId="0" applyFont="1"/>
    <xf numFmtId="0" fontId="0" fillId="5" borderId="0" xfId="0" applyFill="1" applyAlignment="1">
      <alignment horizontal="left"/>
    </xf>
    <xf numFmtId="0" fontId="0" fillId="5" borderId="0" xfId="0" applyFill="1"/>
    <xf numFmtId="0" fontId="16" fillId="0" borderId="0" xfId="0" applyFont="1"/>
    <xf numFmtId="0" fontId="15" fillId="0" borderId="1" xfId="0" applyFont="1" applyBorder="1"/>
    <xf numFmtId="0" fontId="15" fillId="0" borderId="4" xfId="0" applyFont="1" applyBorder="1" applyAlignment="1">
      <alignment horizontal="center"/>
    </xf>
    <xf numFmtId="0" fontId="15" fillId="0" borderId="18" xfId="0" applyFont="1" applyBorder="1"/>
    <xf numFmtId="0" fontId="15" fillId="0" borderId="9" xfId="0" applyFont="1" applyBorder="1" applyAlignment="1">
      <alignment horizontal="center"/>
    </xf>
    <xf numFmtId="0" fontId="17" fillId="0" borderId="0" xfId="0" applyFont="1"/>
    <xf numFmtId="0" fontId="18" fillId="5" borderId="0" xfId="0" applyFont="1" applyFill="1" applyAlignment="1">
      <alignment horizontal="center"/>
    </xf>
    <xf numFmtId="0" fontId="0" fillId="5" borderId="0" xfId="0" applyFill="1" applyAlignment="1">
      <alignment horizontal="center"/>
    </xf>
    <xf numFmtId="0" fontId="14" fillId="6" borderId="10" xfId="0" applyFont="1" applyFill="1" applyBorder="1" applyAlignment="1">
      <alignment horizontal="center"/>
    </xf>
    <xf numFmtId="0" fontId="0" fillId="6" borderId="11" xfId="0" applyFill="1" applyBorder="1" applyAlignment="1">
      <alignment horizontal="center"/>
    </xf>
    <xf numFmtId="0" fontId="0" fillId="6" borderId="12" xfId="0" applyFill="1" applyBorder="1" applyAlignment="1">
      <alignment horizontal="center"/>
    </xf>
    <xf numFmtId="0" fontId="0" fillId="6" borderId="15" xfId="0" applyFill="1" applyBorder="1" applyAlignment="1">
      <alignment horizontal="center"/>
    </xf>
    <xf numFmtId="0" fontId="0" fillId="6" borderId="16" xfId="0" applyFill="1" applyBorder="1" applyAlignment="1">
      <alignment horizontal="center"/>
    </xf>
    <xf numFmtId="0" fontId="0" fillId="6" borderId="17" xfId="0" applyFill="1" applyBorder="1" applyAlignment="1">
      <alignment horizontal="center"/>
    </xf>
    <xf numFmtId="2" fontId="13" fillId="0" borderId="13" xfId="0" applyNumberFormat="1" applyFont="1" applyBorder="1" applyAlignment="1">
      <alignment horizontal="center"/>
    </xf>
    <xf numFmtId="2" fontId="13" fillId="0" borderId="0" xfId="0" applyNumberFormat="1" applyFont="1" applyAlignment="1">
      <alignment horizontal="center"/>
    </xf>
    <xf numFmtId="2" fontId="13" fillId="0" borderId="14" xfId="0" applyNumberFormat="1" applyFont="1" applyBorder="1" applyAlignment="1">
      <alignment horizontal="center"/>
    </xf>
    <xf numFmtId="2" fontId="13" fillId="0" borderId="15" xfId="0" applyNumberFormat="1" applyFont="1" applyBorder="1" applyAlignment="1">
      <alignment horizontal="center"/>
    </xf>
    <xf numFmtId="2" fontId="13" fillId="0" borderId="16" xfId="0" applyNumberFormat="1" applyFont="1" applyBorder="1" applyAlignment="1">
      <alignment horizontal="center"/>
    </xf>
    <xf numFmtId="2" fontId="13" fillId="0" borderId="17" xfId="0" applyNumberFormat="1" applyFont="1" applyBorder="1" applyAlignment="1">
      <alignment horizontal="center"/>
    </xf>
    <xf numFmtId="1" fontId="13" fillId="0" borderId="13" xfId="0" applyNumberFormat="1" applyFont="1" applyBorder="1" applyAlignment="1">
      <alignment horizontal="center"/>
    </xf>
    <xf numFmtId="1" fontId="13" fillId="0" borderId="0" xfId="0" applyNumberFormat="1" applyFont="1" applyAlignment="1">
      <alignment horizontal="center"/>
    </xf>
    <xf numFmtId="1" fontId="13" fillId="0" borderId="14" xfId="0" applyNumberFormat="1" applyFont="1" applyBorder="1" applyAlignment="1">
      <alignment horizontal="center"/>
    </xf>
    <xf numFmtId="1" fontId="13" fillId="0" borderId="15" xfId="0" applyNumberFormat="1" applyFont="1" applyBorder="1" applyAlignment="1">
      <alignment horizontal="center"/>
    </xf>
    <xf numFmtId="1" fontId="13" fillId="0" borderId="16" xfId="0" applyNumberFormat="1" applyFont="1" applyBorder="1" applyAlignment="1">
      <alignment horizontal="center"/>
    </xf>
    <xf numFmtId="1" fontId="13" fillId="0" borderId="17" xfId="0" applyNumberFormat="1" applyFont="1" applyBorder="1" applyAlignment="1">
      <alignment horizontal="center"/>
    </xf>
    <xf numFmtId="0" fontId="0" fillId="6" borderId="13" xfId="0" applyFill="1" applyBorder="1" applyAlignment="1">
      <alignment horizontal="center"/>
    </xf>
    <xf numFmtId="0" fontId="0" fillId="6" borderId="0" xfId="0" applyFill="1" applyAlignment="1">
      <alignment horizontal="center"/>
    </xf>
    <xf numFmtId="0" fontId="0" fillId="6" borderId="14" xfId="0" applyFill="1" applyBorder="1" applyAlignment="1">
      <alignment horizontal="center"/>
    </xf>
    <xf numFmtId="0" fontId="8" fillId="4" borderId="1" xfId="0" applyFont="1" applyFill="1" applyBorder="1" applyAlignment="1">
      <alignment horizontal="center"/>
    </xf>
    <xf numFmtId="0" fontId="9" fillId="4" borderId="1" xfId="0" applyFont="1" applyFill="1" applyBorder="1" applyAlignment="1">
      <alignment horizontal="center"/>
    </xf>
    <xf numFmtId="0" fontId="7" fillId="4" borderId="0" xfId="0" applyFont="1" applyFill="1" applyAlignment="1">
      <alignment horizontal="center"/>
    </xf>
    <xf numFmtId="0" fontId="12" fillId="4" borderId="0" xfId="0" applyFont="1" applyFill="1" applyAlignment="1">
      <alignment horizontal="center"/>
    </xf>
    <xf numFmtId="0" fontId="7" fillId="3" borderId="0" xfId="0" applyFont="1" applyFill="1" applyAlignment="1">
      <alignment horizontal="center"/>
    </xf>
    <xf numFmtId="0" fontId="0" fillId="3" borderId="0" xfId="0" applyFill="1" applyAlignment="1">
      <alignment horizontal="center"/>
    </xf>
    <xf numFmtId="0" fontId="0" fillId="3" borderId="6" xfId="0" applyFill="1" applyBorder="1" applyAlignment="1">
      <alignment horizontal="center"/>
    </xf>
    <xf numFmtId="0" fontId="7" fillId="3" borderId="6" xfId="0" applyFont="1" applyFill="1" applyBorder="1" applyAlignment="1">
      <alignment horizontal="center"/>
    </xf>
    <xf numFmtId="0" fontId="2" fillId="3" borderId="0" xfId="0" applyFont="1" applyFill="1" applyAlignment="1">
      <alignment horizontal="center"/>
    </xf>
    <xf numFmtId="0" fontId="2" fillId="3" borderId="6" xfId="0" applyFont="1" applyFill="1" applyBorder="1" applyAlignment="1">
      <alignment horizontal="center"/>
    </xf>
    <xf numFmtId="0" fontId="7" fillId="4" borderId="3" xfId="0" applyFont="1" applyFill="1" applyBorder="1" applyAlignment="1">
      <alignment horizontal="center"/>
    </xf>
    <xf numFmtId="0" fontId="0" fillId="4" borderId="7" xfId="0" applyFill="1" applyBorder="1" applyAlignment="1">
      <alignment horizontal="center"/>
    </xf>
    <xf numFmtId="0" fontId="0" fillId="4" borderId="5" xfId="0" applyFill="1" applyBorder="1" applyAlignment="1">
      <alignment horizontal="center"/>
    </xf>
    <xf numFmtId="0" fontId="0" fillId="4" borderId="8" xfId="0" applyFill="1" applyBorder="1" applyAlignment="1">
      <alignment horizontal="center"/>
    </xf>
    <xf numFmtId="0" fontId="0" fillId="4" borderId="6" xfId="0" applyFill="1" applyBorder="1" applyAlignment="1">
      <alignment horizontal="center"/>
    </xf>
    <xf numFmtId="0" fontId="0" fillId="4" borderId="9" xfId="0" applyFill="1" applyBorder="1" applyAlignment="1">
      <alignment horizontal="center"/>
    </xf>
    <xf numFmtId="0" fontId="15" fillId="7" borderId="6" xfId="0" applyFont="1" applyFill="1" applyBorder="1" applyAlignment="1">
      <alignment horizontal="center"/>
    </xf>
    <xf numFmtId="0" fontId="17" fillId="7" borderId="0" xfId="0" applyFont="1" applyFill="1" applyAlignment="1">
      <alignment horizontal="center"/>
    </xf>
  </cellXfs>
  <cellStyles count="1">
    <cellStyle name="Normal" xfId="0" builtinId="0"/>
  </cellStyles>
  <dxfs count="14">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font>
        <b/>
        <strike val="0"/>
        <outline val="0"/>
        <shadow val="0"/>
        <u val="none"/>
        <vertAlign val="baseline"/>
        <sz val="16"/>
        <color theme="1"/>
        <name val="Calibri"/>
        <family val="2"/>
        <scheme val="minor"/>
      </font>
      <alignment horizontal="center"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[Sales_Practice_Dataset.xlsx]Pivot Analysis!PivotTable2</c:name>
    <c:fmtId val="5"/>
  </c:pivotSource>
  <c:chart>
    <c:title>
      <c:tx>
        <c:rich>
          <a:bodyPr rot="0" spcFirstLastPara="1" vertOverflow="ellipsis" vert="horz" wrap="square" anchor="ctr" anchorCtr="1"/>
          <a:lstStyle/>
          <a:p>
            <a:pPr>
              <a:defRPr sz="2000" b="1" i="0" u="none" strike="noStrike" kern="1200" cap="all" spc="120" normalizeH="0" baseline="0">
                <a:solidFill>
                  <a:schemeClr val="tx1">
                    <a:lumMod val="65000"/>
                    <a:lumOff val="35000"/>
                  </a:schemeClr>
                </a:solidFill>
                <a:latin typeface="+mn-lt"/>
                <a:ea typeface="+mn-ea"/>
                <a:cs typeface="+mn-cs"/>
              </a:defRPr>
            </a:pPr>
            <a:r>
              <a:rPr lang="en-US" sz="2000"/>
              <a:t>Category-wise Sales</a:t>
            </a:r>
          </a:p>
        </c:rich>
      </c:tx>
      <c:overlay val="0"/>
      <c:spPr>
        <a:noFill/>
        <a:ln>
          <a:noFill/>
        </a:ln>
        <a:effectLst/>
      </c:spPr>
      <c:txPr>
        <a:bodyPr rot="0" spcFirstLastPara="1" vertOverflow="ellipsis" vert="horz" wrap="square" anchor="ctr" anchorCtr="1"/>
        <a:lstStyle/>
        <a:p>
          <a:pPr>
            <a:defRPr sz="20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Analysis'!$B$15</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Analysis'!$A$16:$A$24</c:f>
              <c:strCache>
                <c:ptCount val="8"/>
                <c:pt idx="0">
                  <c:v>Books</c:v>
                </c:pt>
                <c:pt idx="1">
                  <c:v>Clothing</c:v>
                </c:pt>
                <c:pt idx="2">
                  <c:v>Electronics</c:v>
                </c:pt>
                <c:pt idx="3">
                  <c:v>Furniture</c:v>
                </c:pt>
                <c:pt idx="4">
                  <c:v>Kitchen</c:v>
                </c:pt>
                <c:pt idx="5">
                  <c:v>Sports</c:v>
                </c:pt>
                <c:pt idx="6">
                  <c:v>Stationery</c:v>
                </c:pt>
                <c:pt idx="7">
                  <c:v>Toys</c:v>
                </c:pt>
              </c:strCache>
            </c:strRef>
          </c:cat>
          <c:val>
            <c:numRef>
              <c:f>'Pivot Analysis'!$B$16:$B$24</c:f>
              <c:numCache>
                <c:formatCode>General</c:formatCode>
                <c:ptCount val="8"/>
                <c:pt idx="0">
                  <c:v>965182.5</c:v>
                </c:pt>
                <c:pt idx="1">
                  <c:v>1188236.7</c:v>
                </c:pt>
                <c:pt idx="2">
                  <c:v>764764.7</c:v>
                </c:pt>
                <c:pt idx="3">
                  <c:v>2228334.0499999998</c:v>
                </c:pt>
                <c:pt idx="4">
                  <c:v>2448707.8999999994</c:v>
                </c:pt>
                <c:pt idx="5">
                  <c:v>1487729.8</c:v>
                </c:pt>
                <c:pt idx="6">
                  <c:v>1603850.25</c:v>
                </c:pt>
                <c:pt idx="7">
                  <c:v>1787372.25</c:v>
                </c:pt>
              </c:numCache>
            </c:numRef>
          </c:val>
          <c:extLst>
            <c:ext xmlns:c16="http://schemas.microsoft.com/office/drawing/2014/chart" uri="{C3380CC4-5D6E-409C-BE32-E72D297353CC}">
              <c16:uniqueId val="{00000000-E68E-DA49-85B0-563CAF45D1C2}"/>
            </c:ext>
          </c:extLst>
        </c:ser>
        <c:dLbls>
          <c:dLblPos val="outEnd"/>
          <c:showLegendKey val="0"/>
          <c:showVal val="1"/>
          <c:showCatName val="0"/>
          <c:showSerName val="0"/>
          <c:showPercent val="0"/>
          <c:showBubbleSize val="0"/>
        </c:dLbls>
        <c:gapWidth val="444"/>
        <c:overlap val="-90"/>
        <c:axId val="892529599"/>
        <c:axId val="898924991"/>
      </c:barChart>
      <c:catAx>
        <c:axId val="8925295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98924991"/>
        <c:crosses val="autoZero"/>
        <c:auto val="1"/>
        <c:lblAlgn val="ctr"/>
        <c:lblOffset val="100"/>
        <c:noMultiLvlLbl val="0"/>
      </c:catAx>
      <c:valAx>
        <c:axId val="898924991"/>
        <c:scaling>
          <c:orientation val="minMax"/>
        </c:scaling>
        <c:delete val="1"/>
        <c:axPos val="l"/>
        <c:numFmt formatCode="General" sourceLinked="1"/>
        <c:majorTickMark val="none"/>
        <c:minorTickMark val="none"/>
        <c:tickLblPos val="nextTo"/>
        <c:crossAx val="892529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[Sales_Practice_Dataset.xlsx]Pivot Analysis!PivotTable3</c:name>
    <c:fmtId val="3"/>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t>Monthly Sales Trend</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Analysis'!$C$32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Analysis'!$A$33:$B$45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Analysis'!$C$33:$C$45</c:f>
              <c:numCache>
                <c:formatCode>General</c:formatCode>
                <c:ptCount val="12"/>
                <c:pt idx="0">
                  <c:v>1189759.7000000002</c:v>
                </c:pt>
                <c:pt idx="1">
                  <c:v>2013100.3499999999</c:v>
                </c:pt>
                <c:pt idx="2">
                  <c:v>1167716.2</c:v>
                </c:pt>
                <c:pt idx="3">
                  <c:v>273607.05</c:v>
                </c:pt>
                <c:pt idx="4">
                  <c:v>933950.89999999991</c:v>
                </c:pt>
                <c:pt idx="5">
                  <c:v>1249166.1000000001</c:v>
                </c:pt>
                <c:pt idx="6">
                  <c:v>421533.45</c:v>
                </c:pt>
                <c:pt idx="7">
                  <c:v>1096445.9500000002</c:v>
                </c:pt>
                <c:pt idx="8">
                  <c:v>967429.85</c:v>
                </c:pt>
                <c:pt idx="9">
                  <c:v>1082165.2499999998</c:v>
                </c:pt>
                <c:pt idx="10">
                  <c:v>1301910.5000000002</c:v>
                </c:pt>
                <c:pt idx="11">
                  <c:v>777392.85</c:v>
                </c:pt>
              </c:numCache>
            </c:numRef>
          </c:val>
          <c:smooth val="0"/>
          <c:extLst>
            <c:ext xmlns:c16="http://schemas.microsoft.com/office/drawing/2014/chart" uri="{C3380CC4-5D6E-409C-BE32-E72D297353CC}">
              <c16:uniqueId val="{00000000-D9C1-5445-AFA4-17B23CE9E19B}"/>
            </c:ext>
          </c:extLst>
        </c:ser>
        <c:dLbls>
          <c:dLblPos val="ctr"/>
          <c:showLegendKey val="0"/>
          <c:showVal val="1"/>
          <c:showCatName val="0"/>
          <c:showSerName val="0"/>
          <c:showPercent val="0"/>
          <c:showBubbleSize val="0"/>
        </c:dLbls>
        <c:marker val="1"/>
        <c:smooth val="0"/>
        <c:axId val="885494143"/>
        <c:axId val="885498623"/>
      </c:lineChart>
      <c:catAx>
        <c:axId val="885494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5498623"/>
        <c:crosses val="autoZero"/>
        <c:auto val="1"/>
        <c:lblAlgn val="ctr"/>
        <c:lblOffset val="100"/>
        <c:noMultiLvlLbl val="0"/>
      </c:catAx>
      <c:valAx>
        <c:axId val="885498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5494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[Sales_Practice_Dataset.xlsx]Pivot Analysis!PivotTable4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Customer Payment Preferences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hade val="53000"/>
            </a:schemeClr>
          </a:solidFill>
          <a:ln w="19050">
            <a:solidFill>
              <a:schemeClr val="lt1"/>
            </a:solidFill>
          </a:ln>
          <a:effectLst/>
        </c:spPr>
      </c:pivotFmt>
      <c:pivotFmt>
        <c:idx val="9"/>
        <c:spPr>
          <a:solidFill>
            <a:schemeClr val="accent1">
              <a:shade val="76000"/>
            </a:schemeClr>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tint val="77000"/>
            </a:schemeClr>
          </a:solidFill>
          <a:ln w="19050">
            <a:solidFill>
              <a:schemeClr val="lt1"/>
            </a:solidFill>
          </a:ln>
          <a:effectLst/>
        </c:spPr>
      </c:pivotFmt>
      <c:pivotFmt>
        <c:idx val="12"/>
        <c:spPr>
          <a:solidFill>
            <a:schemeClr val="accent1">
              <a:tint val="54000"/>
            </a:schemeClr>
          </a:solidFill>
          <a:ln w="19050">
            <a:solidFill>
              <a:schemeClr val="lt1"/>
            </a:solidFill>
          </a:ln>
          <a:effectLst/>
        </c:spPr>
      </c:pivotFmt>
    </c:pivotFmts>
    <c:plotArea>
      <c:layout/>
      <c:pieChart>
        <c:varyColors val="1"/>
        <c:ser>
          <c:idx val="0"/>
          <c:order val="0"/>
          <c:tx>
            <c:strRef>
              <c:f>'Pivot Analysis'!$B$50</c:f>
              <c:strCache>
                <c:ptCount val="1"/>
                <c:pt idx="0">
                  <c:v>Total</c:v>
                </c:pt>
              </c:strCache>
            </c:strRef>
          </c:tx>
          <c:dPt>
            <c:idx val="0"/>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1-FDF9-F84B-B644-0471ACCF8DED}"/>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FDF9-F84B-B644-0471ACCF8DED}"/>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FDF9-F84B-B644-0471ACCF8DED}"/>
              </c:ext>
            </c:extLst>
          </c:dPt>
          <c:dPt>
            <c:idx val="3"/>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7-FDF9-F84B-B644-0471ACCF8DED}"/>
              </c:ext>
            </c:extLst>
          </c:dPt>
          <c:dPt>
            <c:idx val="4"/>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9-FDF9-F84B-B644-0471ACCF8DE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Analysis'!$A$51:$A$56</c:f>
              <c:strCache>
                <c:ptCount val="5"/>
                <c:pt idx="0">
                  <c:v>Cash</c:v>
                </c:pt>
                <c:pt idx="1">
                  <c:v>Credit Card</c:v>
                </c:pt>
                <c:pt idx="2">
                  <c:v>Debit Card</c:v>
                </c:pt>
                <c:pt idx="3">
                  <c:v>Net Banking</c:v>
                </c:pt>
                <c:pt idx="4">
                  <c:v>UPI</c:v>
                </c:pt>
              </c:strCache>
            </c:strRef>
          </c:cat>
          <c:val>
            <c:numRef>
              <c:f>'Pivot Analysis'!$B$51:$B$56</c:f>
              <c:numCache>
                <c:formatCode>General</c:formatCode>
                <c:ptCount val="5"/>
                <c:pt idx="0">
                  <c:v>87</c:v>
                </c:pt>
                <c:pt idx="1">
                  <c:v>73</c:v>
                </c:pt>
                <c:pt idx="2">
                  <c:v>74</c:v>
                </c:pt>
                <c:pt idx="3">
                  <c:v>49</c:v>
                </c:pt>
                <c:pt idx="4">
                  <c:v>67</c:v>
                </c:pt>
              </c:numCache>
            </c:numRef>
          </c:val>
          <c:extLst>
            <c:ext xmlns:c16="http://schemas.microsoft.com/office/drawing/2014/chart" uri="{C3380CC4-5D6E-409C-BE32-E72D297353CC}">
              <c16:uniqueId val="{0000000A-FDF9-F84B-B644-0471ACCF8DE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86109653690363686"/>
          <c:y val="0.23537281001859126"/>
          <c:w val="9.8888283794961465E-2"/>
          <c:h val="0.52377562975003589"/>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[Sales_Practice_Dataset.xlsx]Pivot Analysis!PivotTable1</c:name>
    <c:fmtId val="5"/>
  </c:pivotSource>
  <c:chart>
    <c:title>
      <c:tx>
        <c:rich>
          <a:bodyPr rot="0" spcFirstLastPara="1" vertOverflow="ellipsis" vert="horz" wrap="square" anchor="ctr" anchorCtr="1"/>
          <a:lstStyle/>
          <a:p>
            <a:pPr>
              <a:defRPr sz="2000" b="1" i="0" u="none" strike="noStrike" kern="1200" cap="all" spc="50" baseline="0">
                <a:solidFill>
                  <a:schemeClr val="tx1">
                    <a:lumMod val="65000"/>
                    <a:lumOff val="35000"/>
                  </a:schemeClr>
                </a:solidFill>
                <a:latin typeface="+mn-lt"/>
                <a:ea typeface="+mn-ea"/>
                <a:cs typeface="+mn-cs"/>
              </a:defRPr>
            </a:pPr>
            <a:r>
              <a:rPr lang="en-IN" sz="2000" b="1" i="0" u="none" strike="noStrike" cap="all" baseline="0">
                <a:effectLst/>
              </a:rPr>
              <a:t>Region-wise Sales</a:t>
            </a:r>
            <a:endParaRPr lang="en-US" sz="2000" b="1"/>
          </a:p>
        </c:rich>
      </c:tx>
      <c:overlay val="0"/>
      <c:spPr>
        <a:noFill/>
        <a:ln>
          <a:noFill/>
        </a:ln>
        <a:effectLst/>
      </c:spPr>
      <c:txPr>
        <a:bodyPr rot="0" spcFirstLastPara="1" vertOverflow="ellipsis" vert="horz" wrap="square" anchor="ctr" anchorCtr="1"/>
        <a:lstStyle/>
        <a:p>
          <a:pPr>
            <a:defRPr sz="20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hade val="58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hade val="860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tint val="86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tint val="58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Analysis'!$B$3</c:f>
              <c:strCache>
                <c:ptCount val="1"/>
                <c:pt idx="0">
                  <c:v>Total</c:v>
                </c:pt>
              </c:strCache>
            </c:strRef>
          </c:tx>
          <c:dPt>
            <c:idx val="0"/>
            <c:bubble3D val="0"/>
            <c:spPr>
              <a:solidFill>
                <a:schemeClr val="accent1">
                  <a:shade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B36-124A-8204-4308907F00DD}"/>
              </c:ext>
            </c:extLst>
          </c:dPt>
          <c:dPt>
            <c:idx val="1"/>
            <c:bubble3D val="0"/>
            <c:spPr>
              <a:solidFill>
                <a:schemeClr val="accent1">
                  <a:shade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B36-124A-8204-4308907F00DD}"/>
              </c:ext>
            </c:extLst>
          </c:dPt>
          <c:dPt>
            <c:idx val="2"/>
            <c:bubble3D val="0"/>
            <c:spPr>
              <a:solidFill>
                <a:schemeClr val="accent1">
                  <a:tint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B36-124A-8204-4308907F00DD}"/>
              </c:ext>
            </c:extLst>
          </c:dPt>
          <c:dPt>
            <c:idx val="3"/>
            <c:bubble3D val="0"/>
            <c:spPr>
              <a:solidFill>
                <a:schemeClr val="accent1">
                  <a:tint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0B36-124A-8204-4308907F00D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Analysis'!$A$4:$A$8</c:f>
              <c:strCache>
                <c:ptCount val="4"/>
                <c:pt idx="0">
                  <c:v>East</c:v>
                </c:pt>
                <c:pt idx="1">
                  <c:v>North</c:v>
                </c:pt>
                <c:pt idx="2">
                  <c:v>South</c:v>
                </c:pt>
                <c:pt idx="3">
                  <c:v>West</c:v>
                </c:pt>
              </c:strCache>
            </c:strRef>
          </c:cat>
          <c:val>
            <c:numRef>
              <c:f>'Pivot Analysis'!$B$4:$B$8</c:f>
              <c:numCache>
                <c:formatCode>General</c:formatCode>
                <c:ptCount val="4"/>
                <c:pt idx="0">
                  <c:v>1407245.5499999998</c:v>
                </c:pt>
                <c:pt idx="1">
                  <c:v>2339394.65</c:v>
                </c:pt>
                <c:pt idx="2">
                  <c:v>3670483.9999999991</c:v>
                </c:pt>
                <c:pt idx="3">
                  <c:v>5057053.9499999983</c:v>
                </c:pt>
              </c:numCache>
            </c:numRef>
          </c:val>
          <c:extLst>
            <c:ext xmlns:c16="http://schemas.microsoft.com/office/drawing/2014/chart" uri="{C3380CC4-5D6E-409C-BE32-E72D297353CC}">
              <c16:uniqueId val="{00000008-0B36-124A-8204-4308907F00D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89631276568895069"/>
          <c:y val="0.22457538148511286"/>
          <c:w val="8.4493777617356547E-2"/>
          <c:h val="0.549604166411815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[Sales_Practice_Dataset.xlsx]Pivot Analysis!PivotTable2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s>
    <c:plotArea>
      <c:layout/>
      <c:barChart>
        <c:barDir val="col"/>
        <c:grouping val="clustered"/>
        <c:varyColors val="0"/>
        <c:ser>
          <c:idx val="0"/>
          <c:order val="0"/>
          <c:tx>
            <c:strRef>
              <c:f>'Pivot Analysis'!$B$15</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Analysis'!$A$16:$A$24</c:f>
              <c:strCache>
                <c:ptCount val="8"/>
                <c:pt idx="0">
                  <c:v>Books</c:v>
                </c:pt>
                <c:pt idx="1">
                  <c:v>Clothing</c:v>
                </c:pt>
                <c:pt idx="2">
                  <c:v>Electronics</c:v>
                </c:pt>
                <c:pt idx="3">
                  <c:v>Furniture</c:v>
                </c:pt>
                <c:pt idx="4">
                  <c:v>Kitchen</c:v>
                </c:pt>
                <c:pt idx="5">
                  <c:v>Sports</c:v>
                </c:pt>
                <c:pt idx="6">
                  <c:v>Stationery</c:v>
                </c:pt>
                <c:pt idx="7">
                  <c:v>Toys</c:v>
                </c:pt>
              </c:strCache>
            </c:strRef>
          </c:cat>
          <c:val>
            <c:numRef>
              <c:f>'Pivot Analysis'!$B$16:$B$24</c:f>
              <c:numCache>
                <c:formatCode>General</c:formatCode>
                <c:ptCount val="8"/>
                <c:pt idx="0">
                  <c:v>965182.5</c:v>
                </c:pt>
                <c:pt idx="1">
                  <c:v>1188236.7</c:v>
                </c:pt>
                <c:pt idx="2">
                  <c:v>764764.7</c:v>
                </c:pt>
                <c:pt idx="3">
                  <c:v>2228334.0499999998</c:v>
                </c:pt>
                <c:pt idx="4">
                  <c:v>2448707.8999999994</c:v>
                </c:pt>
                <c:pt idx="5">
                  <c:v>1487729.8</c:v>
                </c:pt>
                <c:pt idx="6">
                  <c:v>1603850.25</c:v>
                </c:pt>
                <c:pt idx="7">
                  <c:v>1787372.25</c:v>
                </c:pt>
              </c:numCache>
            </c:numRef>
          </c:val>
          <c:extLst>
            <c:ext xmlns:c16="http://schemas.microsoft.com/office/drawing/2014/chart" uri="{C3380CC4-5D6E-409C-BE32-E72D297353CC}">
              <c16:uniqueId val="{00000000-980F-E74B-BB65-6437FFFE6854}"/>
            </c:ext>
          </c:extLst>
        </c:ser>
        <c:dLbls>
          <c:dLblPos val="outEnd"/>
          <c:showLegendKey val="0"/>
          <c:showVal val="1"/>
          <c:showCatName val="0"/>
          <c:showSerName val="0"/>
          <c:showPercent val="0"/>
          <c:showBubbleSize val="0"/>
        </c:dLbls>
        <c:gapWidth val="444"/>
        <c:overlap val="-90"/>
        <c:axId val="892529599"/>
        <c:axId val="898924991"/>
      </c:barChart>
      <c:catAx>
        <c:axId val="8925295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98924991"/>
        <c:crosses val="autoZero"/>
        <c:auto val="1"/>
        <c:lblAlgn val="ctr"/>
        <c:lblOffset val="100"/>
        <c:noMultiLvlLbl val="0"/>
      </c:catAx>
      <c:valAx>
        <c:axId val="898924991"/>
        <c:scaling>
          <c:orientation val="minMax"/>
        </c:scaling>
        <c:delete val="1"/>
        <c:axPos val="l"/>
        <c:numFmt formatCode="General" sourceLinked="1"/>
        <c:majorTickMark val="none"/>
        <c:minorTickMark val="none"/>
        <c:tickLblPos val="nextTo"/>
        <c:crossAx val="892529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[Sales_Practice_Dataset.xlsx]Pivot 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Monthly Sales Trend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Analysis'!$C$32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Analysis'!$A$33:$B$45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Analysis'!$C$33:$C$45</c:f>
              <c:numCache>
                <c:formatCode>General</c:formatCode>
                <c:ptCount val="12"/>
                <c:pt idx="0">
                  <c:v>1189759.7000000002</c:v>
                </c:pt>
                <c:pt idx="1">
                  <c:v>2013100.3499999999</c:v>
                </c:pt>
                <c:pt idx="2">
                  <c:v>1167716.2</c:v>
                </c:pt>
                <c:pt idx="3">
                  <c:v>273607.05</c:v>
                </c:pt>
                <c:pt idx="4">
                  <c:v>933950.89999999991</c:v>
                </c:pt>
                <c:pt idx="5">
                  <c:v>1249166.1000000001</c:v>
                </c:pt>
                <c:pt idx="6">
                  <c:v>421533.45</c:v>
                </c:pt>
                <c:pt idx="7">
                  <c:v>1096445.9500000002</c:v>
                </c:pt>
                <c:pt idx="8">
                  <c:v>967429.85</c:v>
                </c:pt>
                <c:pt idx="9">
                  <c:v>1082165.2499999998</c:v>
                </c:pt>
                <c:pt idx="10">
                  <c:v>1301910.5000000002</c:v>
                </c:pt>
                <c:pt idx="11">
                  <c:v>777392.85</c:v>
                </c:pt>
              </c:numCache>
            </c:numRef>
          </c:val>
          <c:smooth val="0"/>
          <c:extLst>
            <c:ext xmlns:c16="http://schemas.microsoft.com/office/drawing/2014/chart" uri="{C3380CC4-5D6E-409C-BE32-E72D297353CC}">
              <c16:uniqueId val="{00000000-D8D8-364A-915A-BDB8F16E1E38}"/>
            </c:ext>
          </c:extLst>
        </c:ser>
        <c:dLbls>
          <c:dLblPos val="ctr"/>
          <c:showLegendKey val="0"/>
          <c:showVal val="1"/>
          <c:showCatName val="0"/>
          <c:showSerName val="0"/>
          <c:showPercent val="0"/>
          <c:showBubbleSize val="0"/>
        </c:dLbls>
        <c:marker val="1"/>
        <c:smooth val="0"/>
        <c:axId val="885494143"/>
        <c:axId val="885498623"/>
      </c:lineChart>
      <c:catAx>
        <c:axId val="885494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5498623"/>
        <c:crosses val="autoZero"/>
        <c:auto val="1"/>
        <c:lblAlgn val="ctr"/>
        <c:lblOffset val="100"/>
        <c:noMultiLvlLbl val="0"/>
      </c:catAx>
      <c:valAx>
        <c:axId val="885498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5494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[Sales_Practice_Dataset.xlsx]Pivot 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Payment Preferences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 Analysis'!$B$50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68A-1E47-8A14-24F9449F41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68A-1E47-8A14-24F9449F412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68A-1E47-8A14-24F9449F412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68A-1E47-8A14-24F9449F412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68A-1E47-8A14-24F9449F41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Analysis'!$A$51:$A$56</c:f>
              <c:strCache>
                <c:ptCount val="5"/>
                <c:pt idx="0">
                  <c:v>Cash</c:v>
                </c:pt>
                <c:pt idx="1">
                  <c:v>Credit Card</c:v>
                </c:pt>
                <c:pt idx="2">
                  <c:v>Debit Card</c:v>
                </c:pt>
                <c:pt idx="3">
                  <c:v>Net Banking</c:v>
                </c:pt>
                <c:pt idx="4">
                  <c:v>UPI</c:v>
                </c:pt>
              </c:strCache>
            </c:strRef>
          </c:cat>
          <c:val>
            <c:numRef>
              <c:f>'Pivot Analysis'!$B$51:$B$56</c:f>
              <c:numCache>
                <c:formatCode>General</c:formatCode>
                <c:ptCount val="5"/>
                <c:pt idx="0">
                  <c:v>87</c:v>
                </c:pt>
                <c:pt idx="1">
                  <c:v>73</c:v>
                </c:pt>
                <c:pt idx="2">
                  <c:v>74</c:v>
                </c:pt>
                <c:pt idx="3">
                  <c:v>49</c:v>
                </c:pt>
                <c:pt idx="4">
                  <c:v>67</c:v>
                </c:pt>
              </c:numCache>
            </c:numRef>
          </c:val>
          <c:extLst>
            <c:ext xmlns:c16="http://schemas.microsoft.com/office/drawing/2014/chart" uri="{C3380CC4-5D6E-409C-BE32-E72D297353CC}">
              <c16:uniqueId val="{00000000-8DBD-3349-8A50-4126FE120CF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[Sales_Practice_Dataset.xlsx]Pivot Analysis!PivotTable1</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1400" b="0" i="0" u="none" strike="noStrike" cap="all" baseline="0">
                <a:effectLst/>
              </a:rPr>
              <a:t>Region-wise Sales </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Analysis'!$B$3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675-1243-B4E4-0C86EBF6231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675-1243-B4E4-0C86EBF62316}"/>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675-1243-B4E4-0C86EBF62316}"/>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C675-1243-B4E4-0C86EBF6231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Analysis'!$A$4:$A$8</c:f>
              <c:strCache>
                <c:ptCount val="4"/>
                <c:pt idx="0">
                  <c:v>East</c:v>
                </c:pt>
                <c:pt idx="1">
                  <c:v>North</c:v>
                </c:pt>
                <c:pt idx="2">
                  <c:v>South</c:v>
                </c:pt>
                <c:pt idx="3">
                  <c:v>West</c:v>
                </c:pt>
              </c:strCache>
            </c:strRef>
          </c:cat>
          <c:val>
            <c:numRef>
              <c:f>'Pivot Analysis'!$B$4:$B$8</c:f>
              <c:numCache>
                <c:formatCode>General</c:formatCode>
                <c:ptCount val="4"/>
                <c:pt idx="0">
                  <c:v>1407245.5499999998</c:v>
                </c:pt>
                <c:pt idx="1">
                  <c:v>2339394.65</c:v>
                </c:pt>
                <c:pt idx="2">
                  <c:v>3670483.9999999991</c:v>
                </c:pt>
                <c:pt idx="3">
                  <c:v>5057053.9499999983</c:v>
                </c:pt>
              </c:numCache>
            </c:numRef>
          </c:val>
          <c:extLst>
            <c:ext xmlns:c16="http://schemas.microsoft.com/office/drawing/2014/chart" uri="{C3380CC4-5D6E-409C-BE32-E72D297353CC}">
              <c16:uniqueId val="{00000000-ACBB-F348-95E3-50222715FD6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2.jpe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13662</xdr:colOff>
      <xdr:row>15</xdr:row>
      <xdr:rowOff>1194</xdr:rowOff>
    </xdr:from>
    <xdr:to>
      <xdr:col>12</xdr:col>
      <xdr:colOff>823148</xdr:colOff>
      <xdr:row>49</xdr:row>
      <xdr:rowOff>0</xdr:rowOff>
    </xdr:to>
    <xdr:graphicFrame macro="">
      <xdr:nvGraphicFramePr>
        <xdr:cNvPr id="2" name="Chart 1">
          <a:extLst>
            <a:ext uri="{FF2B5EF4-FFF2-40B4-BE49-F238E27FC236}">
              <a16:creationId xmlns:a16="http://schemas.microsoft.com/office/drawing/2014/main" id="{65F3E166-F838-0642-9D44-18B8030086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4658</xdr:colOff>
      <xdr:row>15</xdr:row>
      <xdr:rowOff>3560</xdr:rowOff>
    </xdr:from>
    <xdr:to>
      <xdr:col>23</xdr:col>
      <xdr:colOff>23517</xdr:colOff>
      <xdr:row>49</xdr:row>
      <xdr:rowOff>0</xdr:rowOff>
    </xdr:to>
    <xdr:graphicFrame macro="">
      <xdr:nvGraphicFramePr>
        <xdr:cNvPr id="3" name="Chart 2">
          <a:extLst>
            <a:ext uri="{FF2B5EF4-FFF2-40B4-BE49-F238E27FC236}">
              <a16:creationId xmlns:a16="http://schemas.microsoft.com/office/drawing/2014/main" id="{6180826F-91DF-9E47-9B7C-85638F9203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11338</xdr:colOff>
      <xdr:row>52</xdr:row>
      <xdr:rowOff>16705</xdr:rowOff>
    </xdr:from>
    <xdr:to>
      <xdr:col>22</xdr:col>
      <xdr:colOff>825499</xdr:colOff>
      <xdr:row>84</xdr:row>
      <xdr:rowOff>12700</xdr:rowOff>
    </xdr:to>
    <xdr:graphicFrame macro="">
      <xdr:nvGraphicFramePr>
        <xdr:cNvPr id="4" name="Chart 3">
          <a:extLst>
            <a:ext uri="{FF2B5EF4-FFF2-40B4-BE49-F238E27FC236}">
              <a16:creationId xmlns:a16="http://schemas.microsoft.com/office/drawing/2014/main" id="{28E23EEF-8581-4049-A0E7-6AEFC5B5A1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76200</xdr:colOff>
      <xdr:row>52</xdr:row>
      <xdr:rowOff>18955</xdr:rowOff>
    </xdr:from>
    <xdr:to>
      <xdr:col>12</xdr:col>
      <xdr:colOff>812800</xdr:colOff>
      <xdr:row>83</xdr:row>
      <xdr:rowOff>177800</xdr:rowOff>
    </xdr:to>
    <xdr:graphicFrame macro="">
      <xdr:nvGraphicFramePr>
        <xdr:cNvPr id="5" name="Chart 4">
          <a:extLst>
            <a:ext uri="{FF2B5EF4-FFF2-40B4-BE49-F238E27FC236}">
              <a16:creationId xmlns:a16="http://schemas.microsoft.com/office/drawing/2014/main" id="{85528CF1-8309-F14E-A648-FE25B6C759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6460</xdr:colOff>
      <xdr:row>7</xdr:row>
      <xdr:rowOff>17192</xdr:rowOff>
    </xdr:from>
    <xdr:to>
      <xdr:col>25</xdr:col>
      <xdr:colOff>508000</xdr:colOff>
      <xdr:row>12</xdr:row>
      <xdr:rowOff>152400</xdr:rowOff>
    </xdr:to>
    <mc:AlternateContent xmlns:mc="http://schemas.openxmlformats.org/markup-compatibility/2006" xmlns:tsle="http://schemas.microsoft.com/office/drawing/2012/timeslicer">
      <mc:Choice Requires="tsle">
        <xdr:graphicFrame macro="">
          <xdr:nvGraphicFramePr>
            <xdr:cNvPr id="6" name="Order Date 1">
              <a:extLst>
                <a:ext uri="{FF2B5EF4-FFF2-40B4-BE49-F238E27FC236}">
                  <a16:creationId xmlns:a16="http://schemas.microsoft.com/office/drawing/2014/main" id="{390D385C-92F4-8C4F-8E75-4D5F1F5CD838}"/>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7786460" y="1431510"/>
              <a:ext cx="4802222" cy="126089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23</xdr:col>
      <xdr:colOff>19291</xdr:colOff>
      <xdr:row>52</xdr:row>
      <xdr:rowOff>25401</xdr:rowOff>
    </xdr:from>
    <xdr:to>
      <xdr:col>27</xdr:col>
      <xdr:colOff>1184</xdr:colOff>
      <xdr:row>74</xdr:row>
      <xdr:rowOff>0</xdr:rowOff>
    </xdr:to>
    <mc:AlternateContent xmlns:mc="http://schemas.openxmlformats.org/markup-compatibility/2006" xmlns:a14="http://schemas.microsoft.com/office/drawing/2010/main">
      <mc:Choice Requires="a14">
        <xdr:graphicFrame macro="">
          <xdr:nvGraphicFramePr>
            <xdr:cNvPr id="7" name="Category 1">
              <a:extLst>
                <a:ext uri="{FF2B5EF4-FFF2-40B4-BE49-F238E27FC236}">
                  <a16:creationId xmlns:a16="http://schemas.microsoft.com/office/drawing/2014/main" id="{5FF539DE-8F17-FC4F-98A1-8AF320EB7E8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0425882" y="10647219"/>
              <a:ext cx="3330075" cy="44195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38485</xdr:colOff>
      <xdr:row>23</xdr:row>
      <xdr:rowOff>181003</xdr:rowOff>
    </xdr:from>
    <xdr:to>
      <xdr:col>27</xdr:col>
      <xdr:colOff>1411</xdr:colOff>
      <xdr:row>37</xdr:row>
      <xdr:rowOff>165947</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15D800F1-22C1-244A-BE12-61E121E2789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0445076" y="4943503"/>
              <a:ext cx="3285451" cy="28135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16933</xdr:rowOff>
    </xdr:from>
    <xdr:to>
      <xdr:col>3</xdr:col>
      <xdr:colOff>6990</xdr:colOff>
      <xdr:row>8</xdr:row>
      <xdr:rowOff>34953</xdr:rowOff>
    </xdr:to>
    <xdr:pic>
      <xdr:nvPicPr>
        <xdr:cNvPr id="14" name="Picture 13">
          <a:extLst>
            <a:ext uri="{FF2B5EF4-FFF2-40B4-BE49-F238E27FC236}">
              <a16:creationId xmlns:a16="http://schemas.microsoft.com/office/drawing/2014/main" id="{AEE9CD6D-7A8C-7012-7D80-58B14992AEE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16933"/>
          <a:ext cx="2496190" cy="158435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50800</xdr:colOff>
      <xdr:row>15</xdr:row>
      <xdr:rowOff>38100</xdr:rowOff>
    </xdr:from>
    <xdr:to>
      <xdr:col>11</xdr:col>
      <xdr:colOff>279400</xdr:colOff>
      <xdr:row>30</xdr:row>
      <xdr:rowOff>152400</xdr:rowOff>
    </xdr:to>
    <xdr:graphicFrame macro="">
      <xdr:nvGraphicFramePr>
        <xdr:cNvPr id="2" name="Category-wise Sales">
          <a:extLst>
            <a:ext uri="{FF2B5EF4-FFF2-40B4-BE49-F238E27FC236}">
              <a16:creationId xmlns:a16="http://schemas.microsoft.com/office/drawing/2014/main" id="{4E0829A7-174C-8E79-A52B-DE1F6EA0EC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12700</xdr:colOff>
      <xdr:row>32</xdr:row>
      <xdr:rowOff>6350</xdr:rowOff>
    </xdr:from>
    <xdr:to>
      <xdr:col>12</xdr:col>
      <xdr:colOff>368300</xdr:colOff>
      <xdr:row>48</xdr:row>
      <xdr:rowOff>38100</xdr:rowOff>
    </xdr:to>
    <xdr:graphicFrame macro="">
      <xdr:nvGraphicFramePr>
        <xdr:cNvPr id="3" name="Monthly Sales Trend">
          <a:extLst>
            <a:ext uri="{FF2B5EF4-FFF2-40B4-BE49-F238E27FC236}">
              <a16:creationId xmlns:a16="http://schemas.microsoft.com/office/drawing/2014/main" id="{A373FE52-99E1-4B6A-287D-998CFF4FB4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990600</xdr:colOff>
      <xdr:row>52</xdr:row>
      <xdr:rowOff>158750</xdr:rowOff>
    </xdr:from>
    <xdr:to>
      <xdr:col>7</xdr:col>
      <xdr:colOff>736600</xdr:colOff>
      <xdr:row>67</xdr:row>
      <xdr:rowOff>44450</xdr:rowOff>
    </xdr:to>
    <xdr:graphicFrame macro="">
      <xdr:nvGraphicFramePr>
        <xdr:cNvPr id="4" name="Customer Payment Preferences">
          <a:extLst>
            <a:ext uri="{FF2B5EF4-FFF2-40B4-BE49-F238E27FC236}">
              <a16:creationId xmlns:a16="http://schemas.microsoft.com/office/drawing/2014/main" id="{18F70761-013F-5FC4-029E-916396E4EC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241300</xdr:colOff>
      <xdr:row>0</xdr:row>
      <xdr:rowOff>0</xdr:rowOff>
    </xdr:from>
    <xdr:to>
      <xdr:col>8</xdr:col>
      <xdr:colOff>685800</xdr:colOff>
      <xdr:row>14</xdr:row>
      <xdr:rowOff>76200</xdr:rowOff>
    </xdr:to>
    <xdr:graphicFrame macro="">
      <xdr:nvGraphicFramePr>
        <xdr:cNvPr id="5" name="Region-wise Sales">
          <a:extLst>
            <a:ext uri="{FF2B5EF4-FFF2-40B4-BE49-F238E27FC236}">
              <a16:creationId xmlns:a16="http://schemas.microsoft.com/office/drawing/2014/main" id="{9D620F56-183B-884C-2EE2-D3FC65C492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647700</xdr:colOff>
      <xdr:row>0</xdr:row>
      <xdr:rowOff>177801</xdr:rowOff>
    </xdr:from>
    <xdr:to>
      <xdr:col>14</xdr:col>
      <xdr:colOff>1</xdr:colOff>
      <xdr:row>8</xdr:row>
      <xdr:rowOff>139701</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C7E26E14-983E-AC08-071D-F0F7E2C6B2F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061700" y="177801"/>
              <a:ext cx="1828800" cy="1485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647700</xdr:colOff>
      <xdr:row>10</xdr:row>
      <xdr:rowOff>25400</xdr:rowOff>
    </xdr:from>
    <xdr:to>
      <xdr:col>14</xdr:col>
      <xdr:colOff>1</xdr:colOff>
      <xdr:row>24</xdr:row>
      <xdr:rowOff>12700</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38CF52C4-0576-6589-B8FF-9709EC90069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061700" y="1930400"/>
              <a:ext cx="1828800" cy="2654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12700</xdr:colOff>
      <xdr:row>25</xdr:row>
      <xdr:rowOff>12700</xdr:rowOff>
    </xdr:from>
    <xdr:to>
      <xdr:col>16</xdr:col>
      <xdr:colOff>520700</xdr:colOff>
      <xdr:row>31</xdr:row>
      <xdr:rowOff>127000</xdr:rowOff>
    </xdr:to>
    <mc:AlternateContent xmlns:mc="http://schemas.openxmlformats.org/markup-compatibility/2006" xmlns:tsle="http://schemas.microsoft.com/office/drawing/2012/timeslicer">
      <mc:Choice Requires="tsle">
        <xdr:graphicFrame macro="">
          <xdr:nvGraphicFramePr>
            <xdr:cNvPr id="8" name="Order Date">
              <a:extLst>
                <a:ext uri="{FF2B5EF4-FFF2-40B4-BE49-F238E27FC236}">
                  <a16:creationId xmlns:a16="http://schemas.microsoft.com/office/drawing/2014/main" id="{D9D4474E-73B0-8C4B-A6E5-CE47DC993AEF}"/>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252200" y="4775200"/>
              <a:ext cx="3810000" cy="12573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75.10296527778" createdVersion="8" refreshedVersion="8" minRefreshableVersion="3" recordCount="350" xr:uid="{3020D058-7B36-9342-BE7B-C0E93237C3A6}">
  <cacheSource type="worksheet">
    <worksheetSource name="SalesTable"/>
  </cacheSource>
  <cacheFields count="13">
    <cacheField name="Order ID" numFmtId="0">
      <sharedItems/>
    </cacheField>
    <cacheField name="Order Date" numFmtId="14">
      <sharedItems containsSemiMixedTypes="0" containsNonDate="0" containsDate="1" containsString="0" minDate="2023-01-03T00:00:00" maxDate="2024-01-01T00:00:00" count="220">
        <d v="2023-11-24T00:00:00"/>
        <d v="2023-12-13T00:00:00"/>
        <d v="2023-09-16T00:00:00"/>
        <d v="2023-10-29T00:00:00"/>
        <d v="2023-04-21T00:00:00"/>
        <d v="2023-05-16T00:00:00"/>
        <d v="2023-07-05T00:00:00"/>
        <d v="2023-02-21T00:00:00"/>
        <d v="2023-04-18T00:00:00"/>
        <d v="2023-05-19T00:00:00"/>
        <d v="2023-05-18T00:00:00"/>
        <d v="2023-03-15T00:00:00"/>
        <d v="2023-08-08T00:00:00"/>
        <d v="2023-01-25T00:00:00"/>
        <d v="2023-11-02T00:00:00"/>
        <d v="2023-05-17T00:00:00"/>
        <d v="2023-09-14T00:00:00"/>
        <d v="2023-03-20T00:00:00"/>
        <d v="2023-02-05T00:00:00"/>
        <d v="2023-09-28T00:00:00"/>
        <d v="2023-08-13T00:00:00"/>
        <d v="2023-01-17T00:00:00"/>
        <d v="2023-10-20T00:00:00"/>
        <d v="2023-12-04T00:00:00"/>
        <d v="2023-02-01T00:00:00"/>
        <d v="2023-03-13T00:00:00"/>
        <d v="2023-02-20T00:00:00"/>
        <d v="2023-09-04T00:00:00"/>
        <d v="2023-08-21T00:00:00"/>
        <d v="2023-10-24T00:00:00"/>
        <d v="2023-03-22T00:00:00"/>
        <d v="2023-07-26T00:00:00"/>
        <d v="2023-08-03T00:00:00"/>
        <d v="2023-07-22T00:00:00"/>
        <d v="2023-10-16T00:00:00"/>
        <d v="2023-05-06T00:00:00"/>
        <d v="2023-01-05T00:00:00"/>
        <d v="2023-03-21T00:00:00"/>
        <d v="2023-06-20T00:00:00"/>
        <d v="2023-10-15T00:00:00"/>
        <d v="2023-10-26T00:00:00"/>
        <d v="2023-07-03T00:00:00"/>
        <d v="2023-05-02T00:00:00"/>
        <d v="2023-06-29T00:00:00"/>
        <d v="2023-05-14T00:00:00"/>
        <d v="2023-08-12T00:00:00"/>
        <d v="2023-12-29T00:00:00"/>
        <d v="2023-11-16T00:00:00"/>
        <d v="2023-12-23T00:00:00"/>
        <d v="2023-11-12T00:00:00"/>
        <d v="2023-08-09T00:00:00"/>
        <d v="2023-09-19T00:00:00"/>
        <d v="2023-12-11T00:00:00"/>
        <d v="2023-11-09T00:00:00"/>
        <d v="2023-09-11T00:00:00"/>
        <d v="2023-04-01T00:00:00"/>
        <d v="2023-08-26T00:00:00"/>
        <d v="2023-08-17T00:00:00"/>
        <d v="2023-11-17T00:00:00"/>
        <d v="2023-06-13T00:00:00"/>
        <d v="2023-12-28T00:00:00"/>
        <d v="2023-06-30T00:00:00"/>
        <d v="2023-05-20T00:00:00"/>
        <d v="2023-08-28T00:00:00"/>
        <d v="2023-03-11T00:00:00"/>
        <d v="2023-06-17T00:00:00"/>
        <d v="2023-10-04T00:00:00"/>
        <d v="2023-04-13T00:00:00"/>
        <d v="2023-02-25T00:00:00"/>
        <d v="2023-02-08T00:00:00"/>
        <d v="2023-06-27T00:00:00"/>
        <d v="2023-09-08T00:00:00"/>
        <d v="2023-09-25T00:00:00"/>
        <d v="2023-02-14T00:00:00"/>
        <d v="2023-05-31T00:00:00"/>
        <d v="2023-09-29T00:00:00"/>
        <d v="2023-04-29T00:00:00"/>
        <d v="2023-09-05T00:00:00"/>
        <d v="2023-04-02T00:00:00"/>
        <d v="2023-12-24T00:00:00"/>
        <d v="2023-08-14T00:00:00"/>
        <d v="2023-09-09T00:00:00"/>
        <d v="2023-03-02T00:00:00"/>
        <d v="2023-07-29T00:00:00"/>
        <d v="2023-12-26T00:00:00"/>
        <d v="2023-10-06T00:00:00"/>
        <d v="2023-11-01T00:00:00"/>
        <d v="2023-11-06T00:00:00"/>
        <d v="2023-10-23T00:00:00"/>
        <d v="2023-03-24T00:00:00"/>
        <d v="2023-02-15T00:00:00"/>
        <d v="2023-08-25T00:00:00"/>
        <d v="2023-01-27T00:00:00"/>
        <d v="2023-11-19T00:00:00"/>
        <d v="2023-02-17T00:00:00"/>
        <d v="2023-09-18T00:00:00"/>
        <d v="2023-07-16T00:00:00"/>
        <d v="2023-10-03T00:00:00"/>
        <d v="2023-04-07T00:00:00"/>
        <d v="2023-06-19T00:00:00"/>
        <d v="2023-06-18T00:00:00"/>
        <d v="2023-08-16T00:00:00"/>
        <d v="2023-07-11T00:00:00"/>
        <d v="2023-02-10T00:00:00"/>
        <d v="2023-11-23T00:00:00"/>
        <d v="2023-08-22T00:00:00"/>
        <d v="2023-12-18T00:00:00"/>
        <d v="2023-11-14T00:00:00"/>
        <d v="2023-03-09T00:00:00"/>
        <d v="2023-02-28T00:00:00"/>
        <d v="2023-04-24T00:00:00"/>
        <d v="2023-01-20T00:00:00"/>
        <d v="2023-05-01T00:00:00"/>
        <d v="2023-04-08T00:00:00"/>
        <d v="2023-05-05T00:00:00"/>
        <d v="2023-04-30T00:00:00"/>
        <d v="2023-03-31T00:00:00"/>
        <d v="2023-01-09T00:00:00"/>
        <d v="2023-09-01T00:00:00"/>
        <d v="2023-08-07T00:00:00"/>
        <d v="2023-02-03T00:00:00"/>
        <d v="2023-06-10T00:00:00"/>
        <d v="2023-02-13T00:00:00"/>
        <d v="2023-10-28T00:00:00"/>
        <d v="2023-12-03T00:00:00"/>
        <d v="2023-10-21T00:00:00"/>
        <d v="2023-08-15T00:00:00"/>
        <d v="2023-05-26T00:00:00"/>
        <d v="2023-01-04T00:00:00"/>
        <d v="2023-02-09T00:00:00"/>
        <d v="2023-07-27T00:00:00"/>
        <d v="2023-02-24T00:00:00"/>
        <d v="2023-06-28T00:00:00"/>
        <d v="2023-11-05T00:00:00"/>
        <d v="2023-08-18T00:00:00"/>
        <d v="2023-08-29T00:00:00"/>
        <d v="2023-06-08T00:00:00"/>
        <d v="2023-11-11T00:00:00"/>
        <d v="2023-08-19T00:00:00"/>
        <d v="2023-06-23T00:00:00"/>
        <d v="2023-12-02T00:00:00"/>
        <d v="2023-03-07T00:00:00"/>
        <d v="2023-04-03T00:00:00"/>
        <d v="2023-06-01T00:00:00"/>
        <d v="2023-07-15T00:00:00"/>
        <d v="2023-11-25T00:00:00"/>
        <d v="2023-01-14T00:00:00"/>
        <d v="2023-05-27T00:00:00"/>
        <d v="2023-05-12T00:00:00"/>
        <d v="2023-09-27T00:00:00"/>
        <d v="2023-10-25T00:00:00"/>
        <d v="2023-12-17T00:00:00"/>
        <d v="2023-04-14T00:00:00"/>
        <d v="2023-08-31T00:00:00"/>
        <d v="2023-09-12T00:00:00"/>
        <d v="2023-06-06T00:00:00"/>
        <d v="2023-07-06T00:00:00"/>
        <d v="2023-02-04T00:00:00"/>
        <d v="2023-12-14T00:00:00"/>
        <d v="2023-07-23T00:00:00"/>
        <d v="2023-07-18T00:00:00"/>
        <d v="2023-12-22T00:00:00"/>
        <d v="2023-12-31T00:00:00"/>
        <d v="2023-03-06T00:00:00"/>
        <d v="2023-01-15T00:00:00"/>
        <d v="2023-02-07T00:00:00"/>
        <d v="2023-11-07T00:00:00"/>
        <d v="2023-09-21T00:00:00"/>
        <d v="2023-05-07T00:00:00"/>
        <d v="2023-06-07T00:00:00"/>
        <d v="2023-07-25T00:00:00"/>
        <d v="2023-07-21T00:00:00"/>
        <d v="2023-01-21T00:00:00"/>
        <d v="2023-03-18T00:00:00"/>
        <d v="2023-06-03T00:00:00"/>
        <d v="2023-12-19T00:00:00"/>
        <d v="2023-07-30T00:00:00"/>
        <d v="2023-10-07T00:00:00"/>
        <d v="2023-04-26T00:00:00"/>
        <d v="2023-10-14T00:00:00"/>
        <d v="2023-03-16T00:00:00"/>
        <d v="2023-09-03T00:00:00"/>
        <d v="2023-01-03T00:00:00"/>
        <d v="2023-05-28T00:00:00"/>
        <d v="2023-09-26T00:00:00"/>
        <d v="2023-08-23T00:00:00"/>
        <d v="2023-04-05T00:00:00"/>
        <d v="2023-12-21T00:00:00"/>
        <d v="2023-12-27T00:00:00"/>
        <d v="2023-09-02T00:00:00"/>
        <d v="2023-09-24T00:00:00"/>
        <d v="2023-08-30T00:00:00"/>
        <d v="2023-06-02T00:00:00"/>
        <d v="2023-01-29T00:00:00"/>
        <d v="2023-05-21T00:00:00"/>
        <d v="2023-06-26T00:00:00"/>
        <d v="2023-07-12T00:00:00"/>
        <d v="2023-10-02T00:00:00"/>
        <d v="2023-10-10T00:00:00"/>
        <d v="2023-07-04T00:00:00"/>
        <d v="2023-10-27T00:00:00"/>
        <d v="2023-10-19T00:00:00"/>
        <d v="2023-05-04T00:00:00"/>
        <d v="2023-12-01T00:00:00"/>
        <d v="2023-01-28T00:00:00"/>
        <d v="2023-11-21T00:00:00"/>
        <d v="2023-04-06T00:00:00"/>
        <d v="2023-02-12T00:00:00"/>
        <d v="2023-05-30T00:00:00"/>
        <d v="2023-03-28T00:00:00"/>
        <d v="2023-02-02T00:00:00"/>
        <d v="2023-05-09T00:00:00"/>
        <d v="2023-01-23T00:00:00"/>
        <d v="2023-12-20T00:00:00"/>
        <d v="2023-09-22T00:00:00"/>
        <d v="2023-11-22T00:00:00"/>
        <d v="2023-08-06T00:00:00"/>
        <d v="2023-11-20T00:00:00"/>
        <d v="2023-09-30T00:00:00"/>
        <d v="2023-05-08T00:00:00"/>
      </sharedItems>
      <fieldGroup par="12" base="1">
        <rangePr groupBy="days" startDate="2023-01-03T00:00:00" endDate="2024-01-01T00:00:00"/>
        <groupItems count="368">
          <s v="&lt;03/01/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4"/>
        </groupItems>
      </fieldGroup>
    </cacheField>
    <cacheField name="Customer Name" numFmtId="0">
      <sharedItems/>
    </cacheField>
    <cacheField name="City" numFmtId="0">
      <sharedItems/>
    </cacheField>
    <cacheField name="Region" numFmtId="0">
      <sharedItems count="4">
        <s v="West"/>
        <s v="North"/>
        <s v="South"/>
        <s v="East"/>
      </sharedItems>
    </cacheField>
    <cacheField name="Category" numFmtId="0">
      <sharedItems count="8">
        <s v="Books"/>
        <s v="Toys"/>
        <s v="Sports"/>
        <s v="Furniture"/>
        <s v="Clothing"/>
        <s v="Stationery"/>
        <s v="Kitchen"/>
        <s v="Electronics"/>
      </sharedItems>
    </cacheField>
    <cacheField name="Product Name" numFmtId="0">
      <sharedItems/>
    </cacheField>
    <cacheField name="Quantity" numFmtId="1">
      <sharedItems containsSemiMixedTypes="0" containsString="0" containsNumber="1" containsInteger="1" minValue="1" maxValue="10"/>
    </cacheField>
    <cacheField name="Unit Price (₹)" numFmtId="1">
      <sharedItems containsSemiMixedTypes="0" containsString="0" containsNumber="1" containsInteger="1" minValue="199" maxValue="49999"/>
    </cacheField>
    <cacheField name="Discount (%)" numFmtId="10">
      <sharedItems containsSemiMixedTypes="0" containsString="0" containsNumber="1" minValue="0" maxValue="0.25"/>
    </cacheField>
    <cacheField name="Total Amount (₹)" numFmtId="2">
      <sharedItems containsSemiMixedTypes="0" containsString="0" containsNumber="1" minValue="239.2" maxValue="404991.9"/>
    </cacheField>
    <cacheField name="Payment Method" numFmtId="0">
      <sharedItems count="5">
        <s v="Cash"/>
        <s v="Credit Card"/>
        <s v="UPI"/>
        <s v="Net Banking"/>
        <s v="Debit Card"/>
      </sharedItems>
    </cacheField>
    <cacheField name="Months" numFmtId="0" databaseField="0">
      <fieldGroup base="1">
        <rangePr groupBy="months" startDate="2023-01-03T00:00:00" endDate="2024-01-01T00:00:00"/>
        <groupItems count="14">
          <s v="&lt;03/01/23"/>
          <s v="Jan"/>
          <s v="Feb"/>
          <s v="Mar"/>
          <s v="Apr"/>
          <s v="May"/>
          <s v="Jun"/>
          <s v="Jul"/>
          <s v="Aug"/>
          <s v="Sep"/>
          <s v="Oct"/>
          <s v="Nov"/>
          <s v="Dec"/>
          <s v="&gt;01/01/24"/>
        </groupItems>
      </fieldGroup>
    </cacheField>
  </cacheFields>
  <extLst>
    <ext xmlns:x14="http://schemas.microsoft.com/office/spreadsheetml/2009/9/main" uri="{725AE2AE-9491-48be-B2B4-4EB974FC3084}">
      <x14:pivotCacheDefinition pivotCacheId="15692772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
  <r>
    <s v="ORD-1001"/>
    <x v="0"/>
    <s v="Sunita Singh"/>
    <s v="Mumbai"/>
    <x v="0"/>
    <x v="0"/>
    <s v="Textbook"/>
    <n v="4"/>
    <n v="599"/>
    <n v="0.25"/>
    <n v="1797"/>
    <x v="0"/>
  </r>
  <r>
    <s v="ORD-1002"/>
    <x v="1"/>
    <s v="Meena Pillai"/>
    <s v="Delhi"/>
    <x v="1"/>
    <x v="1"/>
    <s v="Lego Set"/>
    <n v="1"/>
    <n v="399"/>
    <n v="0.05"/>
    <n v="379.05"/>
    <x v="1"/>
  </r>
  <r>
    <s v="ORD-1003"/>
    <x v="2"/>
    <s v="Divya Pandey"/>
    <s v="Mumbai"/>
    <x v="0"/>
    <x v="2"/>
    <s v="Cycle"/>
    <n v="9"/>
    <n v="4999"/>
    <n v="0.05"/>
    <n v="42741.45"/>
    <x v="2"/>
  </r>
  <r>
    <s v="ORD-1004"/>
    <x v="3"/>
    <s v="Deepak Yadav"/>
    <s v="Mumbai"/>
    <x v="0"/>
    <x v="3"/>
    <s v="Cabinet"/>
    <n v="7"/>
    <n v="2499"/>
    <n v="0.1"/>
    <n v="15743.7"/>
    <x v="1"/>
  </r>
  <r>
    <s v="ORD-1005"/>
    <x v="4"/>
    <s v="Suresh Nair"/>
    <s v="Delhi"/>
    <x v="1"/>
    <x v="4"/>
    <s v="Kurta"/>
    <n v="2"/>
    <n v="2999"/>
    <n v="0.1"/>
    <n v="5398.2"/>
    <x v="3"/>
  </r>
  <r>
    <s v="ORD-1006"/>
    <x v="5"/>
    <s v="Priya Patel"/>
    <s v="Surat"/>
    <x v="0"/>
    <x v="4"/>
    <s v="Kurta"/>
    <n v="2"/>
    <n v="49999"/>
    <n v="0.1"/>
    <n v="89998.2"/>
    <x v="3"/>
  </r>
  <r>
    <s v="ORD-1007"/>
    <x v="6"/>
    <s v="Rohit Malhotra"/>
    <s v="Chennai"/>
    <x v="2"/>
    <x v="4"/>
    <s v="T-Shirt"/>
    <n v="4"/>
    <n v="1999"/>
    <n v="0"/>
    <n v="7996"/>
    <x v="1"/>
  </r>
  <r>
    <s v="ORD-1008"/>
    <x v="7"/>
    <s v="Manoj Tiwari"/>
    <s v="Kolkata"/>
    <x v="3"/>
    <x v="5"/>
    <s v="Highlighter"/>
    <n v="6"/>
    <n v="799"/>
    <n v="0.1"/>
    <n v="4314.6000000000004"/>
    <x v="4"/>
  </r>
  <r>
    <s v="ORD-1009"/>
    <x v="8"/>
    <s v="Deepak Yadav"/>
    <s v="Delhi"/>
    <x v="1"/>
    <x v="3"/>
    <s v="Shelf"/>
    <n v="4"/>
    <n v="799"/>
    <n v="0.15"/>
    <n v="2716.6"/>
    <x v="2"/>
  </r>
  <r>
    <s v="ORD-1010"/>
    <x v="9"/>
    <s v="Meena Pillai"/>
    <s v="Chennai"/>
    <x v="2"/>
    <x v="6"/>
    <s v="Mixer"/>
    <n v="4"/>
    <n v="299"/>
    <n v="0.1"/>
    <n v="1076.4000000000001"/>
    <x v="2"/>
  </r>
  <r>
    <s v="ORD-1011"/>
    <x v="10"/>
    <s v="Amit Verma"/>
    <s v="Chennai"/>
    <x v="2"/>
    <x v="6"/>
    <s v="Pressure Cooker"/>
    <n v="8"/>
    <n v="3999"/>
    <n v="0.25"/>
    <n v="23994"/>
    <x v="2"/>
  </r>
  <r>
    <s v="ORD-1012"/>
    <x v="11"/>
    <s v="Deepak Yadav"/>
    <s v="Bangalore"/>
    <x v="2"/>
    <x v="2"/>
    <s v="Cycle"/>
    <n v="9"/>
    <n v="49999"/>
    <n v="0.1"/>
    <n v="404991.9"/>
    <x v="3"/>
  </r>
  <r>
    <s v="ORD-1013"/>
    <x v="12"/>
    <s v="Rohit Malhotra"/>
    <s v="Pune"/>
    <x v="0"/>
    <x v="6"/>
    <s v="Pressure Cooker"/>
    <n v="3"/>
    <n v="24999"/>
    <n v="0.15"/>
    <n v="63747.45"/>
    <x v="0"/>
  </r>
  <r>
    <s v="ORD-1014"/>
    <x v="13"/>
    <s v="Sunita Singh"/>
    <s v="Bangalore"/>
    <x v="2"/>
    <x v="3"/>
    <s v="Cabinet"/>
    <n v="7"/>
    <n v="399"/>
    <n v="0.15"/>
    <n v="2374.0500000000002"/>
    <x v="2"/>
  </r>
  <r>
    <s v="ORD-1015"/>
    <x v="14"/>
    <s v="Arun Kapoor"/>
    <s v="Ahmedabad"/>
    <x v="0"/>
    <x v="0"/>
    <s v="Cookbook"/>
    <n v="1"/>
    <n v="499"/>
    <n v="0.25"/>
    <n v="374.25"/>
    <x v="3"/>
  </r>
  <r>
    <s v="ORD-1016"/>
    <x v="15"/>
    <s v="Suresh Nair"/>
    <s v="Delhi"/>
    <x v="1"/>
    <x v="0"/>
    <s v="Dictionary"/>
    <n v="3"/>
    <n v="9999"/>
    <n v="0"/>
    <n v="29997"/>
    <x v="4"/>
  </r>
  <r>
    <s v="ORD-1017"/>
    <x v="16"/>
    <s v="Neha Gupta"/>
    <s v="Ahmedabad"/>
    <x v="0"/>
    <x v="4"/>
    <s v="Shoes"/>
    <n v="5"/>
    <n v="24999"/>
    <n v="0.2"/>
    <n v="99996"/>
    <x v="1"/>
  </r>
  <r>
    <s v="ORD-1018"/>
    <x v="17"/>
    <s v="Pooja Iyer"/>
    <s v="Bangalore"/>
    <x v="2"/>
    <x v="7"/>
    <s v="Smart Watch"/>
    <n v="6"/>
    <n v="14999"/>
    <n v="0"/>
    <n v="89994"/>
    <x v="0"/>
  </r>
  <r>
    <s v="ORD-1019"/>
    <x v="6"/>
    <s v="Kavita Shah"/>
    <s v="Chennai"/>
    <x v="2"/>
    <x v="7"/>
    <s v="Mobile Phone"/>
    <n v="10"/>
    <n v="399"/>
    <n v="0"/>
    <n v="3990"/>
    <x v="2"/>
  </r>
  <r>
    <s v="ORD-1020"/>
    <x v="18"/>
    <s v="Meena Pillai"/>
    <s v="Bangalore"/>
    <x v="2"/>
    <x v="3"/>
    <s v="Cabinet"/>
    <n v="8"/>
    <n v="49999"/>
    <n v="0.05"/>
    <n v="379992.4"/>
    <x v="4"/>
  </r>
  <r>
    <s v="ORD-1021"/>
    <x v="19"/>
    <s v="Divya Pandey"/>
    <s v="Pune"/>
    <x v="0"/>
    <x v="2"/>
    <s v="Dumbbells"/>
    <n v="4"/>
    <n v="1999"/>
    <n v="0.15"/>
    <n v="6796.6"/>
    <x v="4"/>
  </r>
  <r>
    <s v="ORD-1022"/>
    <x v="20"/>
    <s v="Vikram Reddy"/>
    <s v="Surat"/>
    <x v="0"/>
    <x v="4"/>
    <s v="Jeans"/>
    <n v="4"/>
    <n v="399"/>
    <n v="0.1"/>
    <n v="1436.4"/>
    <x v="0"/>
  </r>
  <r>
    <s v="ORD-1023"/>
    <x v="3"/>
    <s v="Meena Pillai"/>
    <s v="Chennai"/>
    <x v="2"/>
    <x v="2"/>
    <s v="Cricket Bat"/>
    <n v="2"/>
    <n v="299"/>
    <n v="0.05"/>
    <n v="568.1"/>
    <x v="0"/>
  </r>
  <r>
    <s v="ORD-1024"/>
    <x v="21"/>
    <s v="Suresh Nair"/>
    <s v="Delhi"/>
    <x v="1"/>
    <x v="2"/>
    <s v="Badminton Set"/>
    <n v="8"/>
    <n v="999"/>
    <n v="0.2"/>
    <n v="6393.6"/>
    <x v="1"/>
  </r>
  <r>
    <s v="ORD-1025"/>
    <x v="22"/>
    <s v="Rohit Malhotra"/>
    <s v="Surat"/>
    <x v="0"/>
    <x v="2"/>
    <s v="Yoga Mat"/>
    <n v="7"/>
    <n v="999"/>
    <n v="0"/>
    <n v="6993"/>
    <x v="0"/>
  </r>
  <r>
    <s v="ORD-1026"/>
    <x v="23"/>
    <s v="Rekha Desai"/>
    <s v="Hyderabad"/>
    <x v="2"/>
    <x v="1"/>
    <s v="Puzzle"/>
    <n v="8"/>
    <n v="299"/>
    <n v="0.25"/>
    <n v="1794"/>
    <x v="0"/>
  </r>
  <r>
    <s v="ORD-1027"/>
    <x v="24"/>
    <s v="Manoj Tiwari"/>
    <s v="Hyderabad"/>
    <x v="2"/>
    <x v="4"/>
    <s v="Jeans"/>
    <n v="4"/>
    <n v="999"/>
    <n v="0.2"/>
    <n v="3196.8"/>
    <x v="2"/>
  </r>
  <r>
    <s v="ORD-1028"/>
    <x v="25"/>
    <s v="Rekha Desai"/>
    <s v="Bangalore"/>
    <x v="2"/>
    <x v="0"/>
    <s v="Dictionary"/>
    <n v="4"/>
    <n v="399"/>
    <n v="0.15"/>
    <n v="1356.6"/>
    <x v="3"/>
  </r>
  <r>
    <s v="ORD-1029"/>
    <x v="26"/>
    <s v="Priya Patel"/>
    <s v="Ahmedabad"/>
    <x v="0"/>
    <x v="7"/>
    <s v="Laptop"/>
    <n v="4"/>
    <n v="799"/>
    <n v="0.15"/>
    <n v="2716.6"/>
    <x v="2"/>
  </r>
  <r>
    <s v="ORD-1030"/>
    <x v="27"/>
    <s v="Ravi Mehta"/>
    <s v="Pune"/>
    <x v="0"/>
    <x v="7"/>
    <s v="Mobile Phone"/>
    <n v="7"/>
    <n v="199"/>
    <n v="0.15"/>
    <n v="1184.05"/>
    <x v="0"/>
  </r>
  <r>
    <s v="ORD-1031"/>
    <x v="28"/>
    <s v="Kavita Shah"/>
    <s v="Pune"/>
    <x v="0"/>
    <x v="5"/>
    <s v="Pen Set"/>
    <n v="4"/>
    <n v="1999"/>
    <n v="0.05"/>
    <n v="7596.2"/>
    <x v="0"/>
  </r>
  <r>
    <s v="ORD-1032"/>
    <x v="29"/>
    <s v="Meena Pillai"/>
    <s v="Mumbai"/>
    <x v="0"/>
    <x v="6"/>
    <s v="Mixer"/>
    <n v="1"/>
    <n v="14999"/>
    <n v="0.2"/>
    <n v="11999.2"/>
    <x v="3"/>
  </r>
  <r>
    <s v="ORD-1033"/>
    <x v="30"/>
    <s v="Priya Patel"/>
    <s v="Ahmedabad"/>
    <x v="0"/>
    <x v="4"/>
    <s v="Jeans"/>
    <n v="2"/>
    <n v="399"/>
    <n v="0.25"/>
    <n v="598.5"/>
    <x v="1"/>
  </r>
  <r>
    <s v="ORD-1034"/>
    <x v="31"/>
    <s v="Sunita Singh"/>
    <s v="Jaipur"/>
    <x v="1"/>
    <x v="2"/>
    <s v="Dumbbells"/>
    <n v="10"/>
    <n v="299"/>
    <n v="0.2"/>
    <n v="2392"/>
    <x v="0"/>
  </r>
  <r>
    <s v="ORD-1035"/>
    <x v="32"/>
    <s v="Rohit Malhotra"/>
    <s v="Jaipur"/>
    <x v="1"/>
    <x v="6"/>
    <s v="Kadai"/>
    <n v="4"/>
    <n v="2499"/>
    <n v="0.05"/>
    <n v="9496.2000000000007"/>
    <x v="4"/>
  </r>
  <r>
    <s v="ORD-1036"/>
    <x v="33"/>
    <s v="Vijay Kumar"/>
    <s v="Kolkata"/>
    <x v="3"/>
    <x v="5"/>
    <s v="Stapler"/>
    <n v="2"/>
    <n v="199"/>
    <n v="0.15"/>
    <n v="338.3"/>
    <x v="3"/>
  </r>
  <r>
    <s v="ORD-1037"/>
    <x v="34"/>
    <s v="Sunita Singh"/>
    <s v="Delhi"/>
    <x v="1"/>
    <x v="2"/>
    <s v="Dumbbells"/>
    <n v="5"/>
    <n v="599"/>
    <n v="0.1"/>
    <n v="2695.5"/>
    <x v="0"/>
  </r>
  <r>
    <s v="ORD-1038"/>
    <x v="35"/>
    <s v="Pooja Iyer"/>
    <s v="Kolkata"/>
    <x v="3"/>
    <x v="3"/>
    <s v="Bed Frame"/>
    <n v="9"/>
    <n v="1999"/>
    <n v="0.2"/>
    <n v="14392.8"/>
    <x v="3"/>
  </r>
  <r>
    <s v="ORD-1039"/>
    <x v="36"/>
    <s v="Meena Pillai"/>
    <s v="Kolkata"/>
    <x v="3"/>
    <x v="4"/>
    <s v="Jeans"/>
    <n v="5"/>
    <n v="499"/>
    <n v="0"/>
    <n v="2495"/>
    <x v="3"/>
  </r>
  <r>
    <s v="ORD-1040"/>
    <x v="37"/>
    <s v="Deepak Yadav"/>
    <s v="Kolkata"/>
    <x v="3"/>
    <x v="2"/>
    <s v="Cycle"/>
    <n v="6"/>
    <n v="999"/>
    <n v="0.25"/>
    <n v="4495.5"/>
    <x v="4"/>
  </r>
  <r>
    <s v="ORD-1041"/>
    <x v="2"/>
    <s v="Sneha Bhatt"/>
    <s v="Kolkata"/>
    <x v="3"/>
    <x v="7"/>
    <s v="Laptop"/>
    <n v="7"/>
    <n v="1499"/>
    <n v="0"/>
    <n v="10493"/>
    <x v="0"/>
  </r>
  <r>
    <s v="ORD-1042"/>
    <x v="38"/>
    <s v="Vijay Kumar"/>
    <s v="Kolkata"/>
    <x v="3"/>
    <x v="3"/>
    <s v="Cabinet"/>
    <n v="8"/>
    <n v="49999"/>
    <n v="0.25"/>
    <n v="299994"/>
    <x v="2"/>
  </r>
  <r>
    <s v="ORD-1043"/>
    <x v="39"/>
    <s v="Rahul Sharma"/>
    <s v="Delhi"/>
    <x v="1"/>
    <x v="4"/>
    <s v="Shoes"/>
    <n v="3"/>
    <n v="49999"/>
    <n v="0"/>
    <n v="149997"/>
    <x v="4"/>
  </r>
  <r>
    <s v="ORD-1044"/>
    <x v="40"/>
    <s v="Meena Pillai"/>
    <s v="Bangalore"/>
    <x v="2"/>
    <x v="1"/>
    <s v="Doll"/>
    <n v="1"/>
    <n v="1999"/>
    <n v="0.1"/>
    <n v="1799.1"/>
    <x v="0"/>
  </r>
  <r>
    <s v="ORD-1045"/>
    <x v="41"/>
    <s v="Ravi Mehta"/>
    <s v="Delhi"/>
    <x v="2"/>
    <x v="4"/>
    <s v="Saree"/>
    <n v="9"/>
    <n v="4999"/>
    <n v="0.2"/>
    <n v="35992.800000000003"/>
    <x v="1"/>
  </r>
  <r>
    <s v="ORD-1046"/>
    <x v="42"/>
    <s v="Neha Gupta"/>
    <s v="Bangalore"/>
    <x v="2"/>
    <x v="1"/>
    <s v="Lego Set"/>
    <n v="3"/>
    <n v="2499"/>
    <n v="0.15"/>
    <n v="6372.45"/>
    <x v="1"/>
  </r>
  <r>
    <s v="ORD-1047"/>
    <x v="15"/>
    <s v="Neha Gupta"/>
    <s v="Delhi"/>
    <x v="1"/>
    <x v="1"/>
    <s v="Lego Set"/>
    <n v="8"/>
    <n v="1299"/>
    <n v="0.05"/>
    <n v="9872.4"/>
    <x v="2"/>
  </r>
  <r>
    <s v="ORD-1048"/>
    <x v="43"/>
    <s v="Kavita Shah"/>
    <s v="Chennai"/>
    <x v="2"/>
    <x v="2"/>
    <s v="Cricket Bat"/>
    <n v="4"/>
    <n v="3999"/>
    <n v="0.1"/>
    <n v="14396.4"/>
    <x v="4"/>
  </r>
  <r>
    <s v="ORD-1049"/>
    <x v="18"/>
    <s v="Deepak Yadav"/>
    <s v="Hyderabad"/>
    <x v="2"/>
    <x v="1"/>
    <s v="Action Figure"/>
    <n v="9"/>
    <n v="2499"/>
    <n v="0"/>
    <n v="22491"/>
    <x v="0"/>
  </r>
  <r>
    <s v="ORD-1050"/>
    <x v="44"/>
    <s v="Neha Gupta"/>
    <s v="Jaipur"/>
    <x v="1"/>
    <x v="0"/>
    <s v="Novel"/>
    <n v="2"/>
    <n v="4999"/>
    <n v="0.1"/>
    <n v="8998.2000000000007"/>
    <x v="4"/>
  </r>
  <r>
    <s v="ORD-1051"/>
    <x v="45"/>
    <s v="Divya Pandey"/>
    <s v="Ahmedabad"/>
    <x v="0"/>
    <x v="4"/>
    <s v="Kurta"/>
    <n v="10"/>
    <n v="999"/>
    <n v="0.1"/>
    <n v="8991"/>
    <x v="0"/>
  </r>
  <r>
    <s v="ORD-1052"/>
    <x v="46"/>
    <s v="Rekha Desai"/>
    <s v="Mumbai"/>
    <x v="0"/>
    <x v="2"/>
    <s v="Badminton Set"/>
    <n v="7"/>
    <n v="399"/>
    <n v="0.25"/>
    <n v="2094.75"/>
    <x v="4"/>
  </r>
  <r>
    <s v="ORD-1053"/>
    <x v="47"/>
    <s v="Suresh Nair"/>
    <s v="Delhi"/>
    <x v="1"/>
    <x v="0"/>
    <s v="Cookbook"/>
    <n v="5"/>
    <n v="4999"/>
    <n v="0.1"/>
    <n v="22495.5"/>
    <x v="2"/>
  </r>
  <r>
    <s v="ORD-1054"/>
    <x v="48"/>
    <s v="Kavita Shah"/>
    <s v="Ahmedabad"/>
    <x v="0"/>
    <x v="3"/>
    <s v="Table"/>
    <n v="7"/>
    <n v="3999"/>
    <n v="0.25"/>
    <n v="20994.75"/>
    <x v="1"/>
  </r>
  <r>
    <s v="ORD-1055"/>
    <x v="49"/>
    <s v="Rohit Malhotra"/>
    <s v="Kolkata"/>
    <x v="3"/>
    <x v="1"/>
    <s v="Board Game"/>
    <n v="1"/>
    <n v="1999"/>
    <n v="0.1"/>
    <n v="1799.1"/>
    <x v="1"/>
  </r>
  <r>
    <s v="ORD-1056"/>
    <x v="50"/>
    <s v="Rohit Malhotra"/>
    <s v="Jaipur"/>
    <x v="1"/>
    <x v="6"/>
    <s v="Plate Set"/>
    <n v="8"/>
    <n v="9999"/>
    <n v="0.25"/>
    <n v="59994"/>
    <x v="1"/>
  </r>
  <r>
    <s v="ORD-1057"/>
    <x v="51"/>
    <s v="Sneha Bhatt"/>
    <s v="Bangalore"/>
    <x v="2"/>
    <x v="4"/>
    <s v="Saree"/>
    <n v="9"/>
    <n v="2499"/>
    <n v="0"/>
    <n v="22491"/>
    <x v="1"/>
  </r>
  <r>
    <s v="ORD-1058"/>
    <x v="52"/>
    <s v="Kavita Shah"/>
    <s v="Chennai"/>
    <x v="2"/>
    <x v="2"/>
    <s v="Football"/>
    <n v="1"/>
    <n v="299"/>
    <n v="0.05"/>
    <n v="284.05"/>
    <x v="2"/>
  </r>
  <r>
    <s v="ORD-1059"/>
    <x v="53"/>
    <s v="Amit Verma"/>
    <s v="Surat"/>
    <x v="0"/>
    <x v="1"/>
    <s v="Action Figure"/>
    <n v="10"/>
    <n v="999"/>
    <n v="0.25"/>
    <n v="7492.5"/>
    <x v="2"/>
  </r>
  <r>
    <s v="ORD-1060"/>
    <x v="54"/>
    <s v="Manoj Tiwari"/>
    <s v="Chennai"/>
    <x v="2"/>
    <x v="3"/>
    <s v="Cabinet"/>
    <n v="1"/>
    <n v="499"/>
    <n v="0.15"/>
    <n v="424.15"/>
    <x v="1"/>
  </r>
  <r>
    <s v="ORD-1061"/>
    <x v="55"/>
    <s v="Vikram Reddy"/>
    <s v="Surat"/>
    <x v="0"/>
    <x v="7"/>
    <s v="Smart Watch"/>
    <n v="4"/>
    <n v="499"/>
    <n v="0.15"/>
    <n v="1696.6"/>
    <x v="1"/>
  </r>
  <r>
    <s v="ORD-1062"/>
    <x v="56"/>
    <s v="Vikram Reddy"/>
    <s v="Ahmedabad"/>
    <x v="0"/>
    <x v="6"/>
    <s v="Plate Set"/>
    <n v="10"/>
    <n v="24999"/>
    <n v="0.15"/>
    <n v="212491.5"/>
    <x v="3"/>
  </r>
  <r>
    <s v="ORD-1063"/>
    <x v="57"/>
    <s v="Neha Gupta"/>
    <s v="Surat"/>
    <x v="0"/>
    <x v="5"/>
    <s v="Stapler"/>
    <n v="4"/>
    <n v="1499"/>
    <n v="0.2"/>
    <n v="4796.8"/>
    <x v="2"/>
  </r>
  <r>
    <s v="ORD-1064"/>
    <x v="58"/>
    <s v="Raj Patil"/>
    <s v="Kolkata"/>
    <x v="3"/>
    <x v="5"/>
    <s v="Notebook"/>
    <n v="5"/>
    <n v="1299"/>
    <n v="0.1"/>
    <n v="5845.5"/>
    <x v="4"/>
  </r>
  <r>
    <s v="ORD-1065"/>
    <x v="59"/>
    <s v="Meena Pillai"/>
    <s v="Delhi"/>
    <x v="1"/>
    <x v="3"/>
    <s v="Table"/>
    <n v="4"/>
    <n v="3999"/>
    <n v="0.25"/>
    <n v="11997"/>
    <x v="1"/>
  </r>
  <r>
    <s v="ORD-1066"/>
    <x v="60"/>
    <s v="Ravi Mehta"/>
    <s v="Delhi"/>
    <x v="1"/>
    <x v="1"/>
    <s v="Puzzle"/>
    <n v="6"/>
    <n v="49999"/>
    <n v="0.15"/>
    <n v="254994.9"/>
    <x v="2"/>
  </r>
  <r>
    <s v="ORD-1067"/>
    <x v="24"/>
    <s v="Ravi Mehta"/>
    <s v="Pune"/>
    <x v="0"/>
    <x v="1"/>
    <s v="Board Game"/>
    <n v="1"/>
    <n v="3999"/>
    <n v="0.15"/>
    <n v="3399.15"/>
    <x v="0"/>
  </r>
  <r>
    <s v="ORD-1068"/>
    <x v="61"/>
    <s v="Kavita Shah"/>
    <s v="Pune"/>
    <x v="0"/>
    <x v="1"/>
    <s v="Board Game"/>
    <n v="9"/>
    <n v="1299"/>
    <n v="0.15"/>
    <n v="9937.35"/>
    <x v="1"/>
  </r>
  <r>
    <s v="ORD-1069"/>
    <x v="62"/>
    <s v="Rekha Desai"/>
    <s v="Surat"/>
    <x v="0"/>
    <x v="7"/>
    <s v="Tablet"/>
    <n v="6"/>
    <n v="3999"/>
    <n v="0.25"/>
    <n v="17995.5"/>
    <x v="1"/>
  </r>
  <r>
    <s v="ORD-1070"/>
    <x v="63"/>
    <s v="Vijay Kumar"/>
    <s v="Jaipur"/>
    <x v="1"/>
    <x v="7"/>
    <s v="Tablet"/>
    <n v="10"/>
    <n v="199"/>
    <n v="0"/>
    <n v="1990"/>
    <x v="2"/>
  </r>
  <r>
    <s v="ORD-1071"/>
    <x v="64"/>
    <s v="Arun Kapoor"/>
    <s v="Bangalore"/>
    <x v="2"/>
    <x v="7"/>
    <s v="Headphones"/>
    <n v="7"/>
    <n v="2499"/>
    <n v="0.05"/>
    <n v="16618.349999999999"/>
    <x v="2"/>
  </r>
  <r>
    <s v="ORD-1072"/>
    <x v="65"/>
    <s v="Suresh Nair"/>
    <s v="Pune"/>
    <x v="0"/>
    <x v="0"/>
    <s v="Dictionary"/>
    <n v="5"/>
    <n v="399"/>
    <n v="0.15"/>
    <n v="1695.75"/>
    <x v="0"/>
  </r>
  <r>
    <s v="ORD-1073"/>
    <x v="66"/>
    <s v="Priya Patel"/>
    <s v="Hyderabad"/>
    <x v="2"/>
    <x v="2"/>
    <s v="Cycle"/>
    <n v="2"/>
    <n v="299"/>
    <n v="0"/>
    <n v="598"/>
    <x v="1"/>
  </r>
  <r>
    <s v="ORD-1074"/>
    <x v="67"/>
    <s v="Rahul Sharma"/>
    <s v="Jaipur"/>
    <x v="1"/>
    <x v="3"/>
    <s v="Table"/>
    <n v="3"/>
    <n v="14999"/>
    <n v="0.25"/>
    <n v="33747.75"/>
    <x v="0"/>
  </r>
  <r>
    <s v="ORD-1075"/>
    <x v="34"/>
    <s v="Ravi Mehta"/>
    <s v="Surat"/>
    <x v="0"/>
    <x v="0"/>
    <s v="Comic"/>
    <n v="3"/>
    <n v="499"/>
    <n v="0.05"/>
    <n v="1422.15"/>
    <x v="4"/>
  </r>
  <r>
    <s v="ORD-1076"/>
    <x v="68"/>
    <s v="Rohit Malhotra"/>
    <s v="Mumbai"/>
    <x v="0"/>
    <x v="0"/>
    <s v="Cookbook"/>
    <n v="7"/>
    <n v="3999"/>
    <n v="0.25"/>
    <n v="20994.75"/>
    <x v="1"/>
  </r>
  <r>
    <s v="ORD-1077"/>
    <x v="69"/>
    <s v="Rohit Malhotra"/>
    <s v="Chennai"/>
    <x v="2"/>
    <x v="4"/>
    <s v="Shoes"/>
    <n v="5"/>
    <n v="499"/>
    <n v="0.2"/>
    <n v="1996"/>
    <x v="0"/>
  </r>
  <r>
    <s v="ORD-1078"/>
    <x v="70"/>
    <s v="Meena Pillai"/>
    <s v="Pune"/>
    <x v="0"/>
    <x v="6"/>
    <s v="Mixer"/>
    <n v="9"/>
    <n v="2499"/>
    <n v="0"/>
    <n v="22491"/>
    <x v="2"/>
  </r>
  <r>
    <s v="ORD-1079"/>
    <x v="71"/>
    <s v="Sunita Singh"/>
    <s v="Pune"/>
    <x v="0"/>
    <x v="6"/>
    <s v="Knife Set"/>
    <n v="8"/>
    <n v="599"/>
    <n v="0.15"/>
    <n v="4073.2"/>
    <x v="1"/>
  </r>
  <r>
    <s v="ORD-1080"/>
    <x v="72"/>
    <s v="Deepak Yadav"/>
    <s v="Jaipur"/>
    <x v="1"/>
    <x v="5"/>
    <s v="Calculator"/>
    <n v="7"/>
    <n v="1499"/>
    <n v="0.1"/>
    <n v="9443.7000000000007"/>
    <x v="1"/>
  </r>
  <r>
    <s v="ORD-1081"/>
    <x v="73"/>
    <s v="Deepak Yadav"/>
    <s v="Surat"/>
    <x v="0"/>
    <x v="2"/>
    <s v="Yoga Mat"/>
    <n v="10"/>
    <n v="3999"/>
    <n v="0.1"/>
    <n v="35991"/>
    <x v="0"/>
  </r>
  <r>
    <s v="ORD-1082"/>
    <x v="54"/>
    <s v="Suresh Nair"/>
    <s v="Bangalore"/>
    <x v="2"/>
    <x v="5"/>
    <s v="Pen Set"/>
    <n v="6"/>
    <n v="1499"/>
    <n v="0.1"/>
    <n v="8094.6"/>
    <x v="4"/>
  </r>
  <r>
    <s v="ORD-1083"/>
    <x v="14"/>
    <s v="Deepak Yadav"/>
    <s v="Ahmedabad"/>
    <x v="0"/>
    <x v="7"/>
    <s v="Smart Watch"/>
    <n v="4"/>
    <n v="399"/>
    <n v="0.05"/>
    <n v="1516.2"/>
    <x v="2"/>
  </r>
  <r>
    <s v="ORD-1084"/>
    <x v="71"/>
    <s v="Meena Pillai"/>
    <s v="Chennai"/>
    <x v="2"/>
    <x v="5"/>
    <s v="Highlighter"/>
    <n v="8"/>
    <n v="9999"/>
    <n v="0"/>
    <n v="79992"/>
    <x v="0"/>
  </r>
  <r>
    <s v="ORD-1085"/>
    <x v="74"/>
    <s v="Anjali Joshi"/>
    <s v="Pune"/>
    <x v="0"/>
    <x v="2"/>
    <s v="Badminton Set"/>
    <n v="10"/>
    <n v="2999"/>
    <n v="0.15"/>
    <n v="25491.5"/>
    <x v="3"/>
  </r>
  <r>
    <s v="ORD-1086"/>
    <x v="75"/>
    <s v="Pooja Iyer"/>
    <s v="Pune"/>
    <x v="0"/>
    <x v="6"/>
    <s v="Kadai"/>
    <n v="8"/>
    <n v="1499"/>
    <n v="0.1"/>
    <n v="10792.8"/>
    <x v="4"/>
  </r>
  <r>
    <s v="ORD-1087"/>
    <x v="76"/>
    <s v="Sunita Singh"/>
    <s v="Chennai"/>
    <x v="2"/>
    <x v="6"/>
    <s v="Mixer"/>
    <n v="9"/>
    <n v="799"/>
    <n v="0.05"/>
    <n v="6831.45"/>
    <x v="1"/>
  </r>
  <r>
    <s v="ORD-1088"/>
    <x v="77"/>
    <s v="Deepak Yadav"/>
    <s v="Jaipur"/>
    <x v="1"/>
    <x v="0"/>
    <s v="Novel"/>
    <n v="4"/>
    <n v="1999"/>
    <n v="0.05"/>
    <n v="7596.2"/>
    <x v="4"/>
  </r>
  <r>
    <s v="ORD-1089"/>
    <x v="78"/>
    <s v="Kavita Shah"/>
    <s v="Mumbai"/>
    <x v="0"/>
    <x v="3"/>
    <s v="Sofa"/>
    <n v="1"/>
    <n v="299"/>
    <n v="0.2"/>
    <n v="239.2"/>
    <x v="4"/>
  </r>
  <r>
    <s v="ORD-1090"/>
    <x v="79"/>
    <s v="Vijay Kumar"/>
    <s v="Surat"/>
    <x v="0"/>
    <x v="4"/>
    <s v="T-Shirt"/>
    <n v="10"/>
    <n v="1999"/>
    <n v="0.15"/>
    <n v="16991.5"/>
    <x v="2"/>
  </r>
  <r>
    <s v="ORD-1091"/>
    <x v="80"/>
    <s v="Suresh Nair"/>
    <s v="Bangalore"/>
    <x v="2"/>
    <x v="7"/>
    <s v="Headphones"/>
    <n v="8"/>
    <n v="499"/>
    <n v="0"/>
    <n v="3992"/>
    <x v="2"/>
  </r>
  <r>
    <s v="ORD-1092"/>
    <x v="81"/>
    <s v="Amit Verma"/>
    <s v="Jaipur"/>
    <x v="1"/>
    <x v="7"/>
    <s v="Mobile Phone"/>
    <n v="3"/>
    <n v="1999"/>
    <n v="0"/>
    <n v="5997"/>
    <x v="1"/>
  </r>
  <r>
    <s v="ORD-1093"/>
    <x v="82"/>
    <s v="Meena Pillai"/>
    <s v="Pune"/>
    <x v="0"/>
    <x v="2"/>
    <s v="Dumbbells"/>
    <n v="7"/>
    <n v="9999"/>
    <n v="0.15"/>
    <n v="59494.05"/>
    <x v="4"/>
  </r>
  <r>
    <s v="ORD-1094"/>
    <x v="3"/>
    <s v="Rekha Desai"/>
    <s v="Kolkata"/>
    <x v="3"/>
    <x v="7"/>
    <s v="Smart Watch"/>
    <n v="2"/>
    <n v="999"/>
    <n v="0.25"/>
    <n v="1498.5"/>
    <x v="1"/>
  </r>
  <r>
    <s v="ORD-1095"/>
    <x v="5"/>
    <s v="Amit Verma"/>
    <s v="Bangalore"/>
    <x v="2"/>
    <x v="2"/>
    <s v="Football"/>
    <n v="9"/>
    <n v="399"/>
    <n v="0.05"/>
    <n v="3411.45"/>
    <x v="0"/>
  </r>
  <r>
    <s v="ORD-1096"/>
    <x v="83"/>
    <s v="Arun Kapoor"/>
    <s v="Jaipur"/>
    <x v="1"/>
    <x v="5"/>
    <s v="Stapler"/>
    <n v="1"/>
    <n v="1299"/>
    <n v="0.1"/>
    <n v="1169.0999999999999"/>
    <x v="4"/>
  </r>
  <r>
    <s v="ORD-1097"/>
    <x v="84"/>
    <s v="Arun Kapoor"/>
    <s v="Delhi"/>
    <x v="1"/>
    <x v="2"/>
    <s v="Badminton Set"/>
    <n v="10"/>
    <n v="999"/>
    <n v="0.15"/>
    <n v="8491.5"/>
    <x v="0"/>
  </r>
  <r>
    <s v="ORD-1098"/>
    <x v="85"/>
    <s v="Anjali Joshi"/>
    <s v="Bangalore"/>
    <x v="2"/>
    <x v="0"/>
    <s v="Textbook"/>
    <n v="2"/>
    <n v="299"/>
    <n v="0.05"/>
    <n v="568.1"/>
    <x v="4"/>
  </r>
  <r>
    <s v="ORD-1099"/>
    <x v="86"/>
    <s v="Rohit Malhotra"/>
    <s v="Kolkata"/>
    <x v="3"/>
    <x v="5"/>
    <s v="Notebook"/>
    <n v="8"/>
    <n v="1999"/>
    <n v="0.25"/>
    <n v="11994"/>
    <x v="2"/>
  </r>
  <r>
    <s v="ORD-1100"/>
    <x v="62"/>
    <s v="Vikram Reddy"/>
    <s v="Ahmedabad"/>
    <x v="0"/>
    <x v="5"/>
    <s v="Calculator"/>
    <n v="2"/>
    <n v="299"/>
    <n v="0.15"/>
    <n v="508.3"/>
    <x v="4"/>
  </r>
  <r>
    <s v="ORD-1101"/>
    <x v="87"/>
    <s v="Deepak Yadav"/>
    <s v="Mumbai"/>
    <x v="0"/>
    <x v="4"/>
    <s v="Jeans"/>
    <n v="10"/>
    <n v="199"/>
    <n v="0.25"/>
    <n v="1492.5"/>
    <x v="4"/>
  </r>
  <r>
    <s v="ORD-1102"/>
    <x v="88"/>
    <s v="Priya Patel"/>
    <s v="Bangalore"/>
    <x v="2"/>
    <x v="5"/>
    <s v="Folder"/>
    <n v="8"/>
    <n v="1499"/>
    <n v="0.05"/>
    <n v="11392.4"/>
    <x v="3"/>
  </r>
  <r>
    <s v="ORD-1103"/>
    <x v="45"/>
    <s v="Sneha Bhatt"/>
    <s v="Delhi"/>
    <x v="1"/>
    <x v="5"/>
    <s v="Stapler"/>
    <n v="7"/>
    <n v="2499"/>
    <n v="0.1"/>
    <n v="15743.7"/>
    <x v="0"/>
  </r>
  <r>
    <s v="ORD-1104"/>
    <x v="89"/>
    <s v="Suresh Nair"/>
    <s v="Pune"/>
    <x v="0"/>
    <x v="5"/>
    <s v="Stapler"/>
    <n v="7"/>
    <n v="49999"/>
    <n v="0"/>
    <n v="349993"/>
    <x v="2"/>
  </r>
  <r>
    <s v="ORD-1105"/>
    <x v="90"/>
    <s v="Suresh Nair"/>
    <s v="Kolkata"/>
    <x v="3"/>
    <x v="6"/>
    <s v="Mixer"/>
    <n v="7"/>
    <n v="24999"/>
    <n v="0"/>
    <n v="174993"/>
    <x v="3"/>
  </r>
  <r>
    <s v="ORD-1106"/>
    <x v="91"/>
    <s v="Rekha Desai"/>
    <s v="Mumbai"/>
    <x v="0"/>
    <x v="2"/>
    <s v="Dumbbells"/>
    <n v="6"/>
    <n v="14999"/>
    <n v="0.25"/>
    <n v="67495.5"/>
    <x v="2"/>
  </r>
  <r>
    <s v="ORD-1107"/>
    <x v="92"/>
    <s v="Ravi Mehta"/>
    <s v="Kolkata"/>
    <x v="3"/>
    <x v="3"/>
    <s v="Sofa"/>
    <n v="8"/>
    <n v="14999"/>
    <n v="0"/>
    <n v="119992"/>
    <x v="0"/>
  </r>
  <r>
    <s v="ORD-1108"/>
    <x v="93"/>
    <s v="Divya Pandey"/>
    <s v="Chennai"/>
    <x v="2"/>
    <x v="3"/>
    <s v="Sofa"/>
    <n v="9"/>
    <n v="199"/>
    <n v="0.2"/>
    <n v="1432.8"/>
    <x v="2"/>
  </r>
  <r>
    <s v="ORD-1109"/>
    <x v="94"/>
    <s v="Anjali Joshi"/>
    <s v="Delhi"/>
    <x v="1"/>
    <x v="5"/>
    <s v="Notebook"/>
    <n v="3"/>
    <n v="14999"/>
    <n v="0.25"/>
    <n v="33747.75"/>
    <x v="4"/>
  </r>
  <r>
    <s v="ORD-1110"/>
    <x v="95"/>
    <s v="Darshan Patil"/>
    <s v="Pune"/>
    <x v="0"/>
    <x v="5"/>
    <s v="Calculator"/>
    <n v="4"/>
    <n v="9999"/>
    <n v="0.2"/>
    <n v="31996.799999999999"/>
    <x v="1"/>
  </r>
  <r>
    <s v="ORD-1111"/>
    <x v="96"/>
    <s v="Ravi Mehta"/>
    <s v="Jaipur"/>
    <x v="1"/>
    <x v="3"/>
    <s v="Chair"/>
    <n v="5"/>
    <n v="4999"/>
    <n v="0.1"/>
    <n v="22495.5"/>
    <x v="3"/>
  </r>
  <r>
    <s v="ORD-1112"/>
    <x v="15"/>
    <s v="Rahul Sharma"/>
    <s v="Kolkata"/>
    <x v="3"/>
    <x v="0"/>
    <s v="Cookbook"/>
    <n v="10"/>
    <n v="14999"/>
    <n v="0.05"/>
    <n v="142490.5"/>
    <x v="2"/>
  </r>
  <r>
    <s v="ORD-1113"/>
    <x v="97"/>
    <s v="Sneha Bhatt"/>
    <s v="Hyderabad"/>
    <x v="2"/>
    <x v="6"/>
    <s v="Glass Set"/>
    <n v="9"/>
    <n v="3999"/>
    <n v="0.15"/>
    <n v="30592.35"/>
    <x v="4"/>
  </r>
  <r>
    <s v="ORD-1114"/>
    <x v="98"/>
    <s v="Anjali Joshi"/>
    <s v="Jaipur"/>
    <x v="1"/>
    <x v="1"/>
    <s v="Doll"/>
    <n v="7"/>
    <n v="299"/>
    <n v="0.1"/>
    <n v="1883.7"/>
    <x v="2"/>
  </r>
  <r>
    <s v="ORD-1115"/>
    <x v="60"/>
    <s v="Manoj Tiwari"/>
    <s v="Pune"/>
    <x v="0"/>
    <x v="3"/>
    <s v="Bed Frame"/>
    <n v="1"/>
    <n v="599"/>
    <n v="0.2"/>
    <n v="479.2"/>
    <x v="3"/>
  </r>
  <r>
    <s v="ORD-1116"/>
    <x v="99"/>
    <s v="Sunita Singh"/>
    <s v="Surat"/>
    <x v="0"/>
    <x v="4"/>
    <s v="Jacket"/>
    <n v="8"/>
    <n v="199"/>
    <n v="0.25"/>
    <n v="1194"/>
    <x v="1"/>
  </r>
  <r>
    <s v="ORD-1117"/>
    <x v="83"/>
    <s v="Vijay Kumar"/>
    <s v="Delhi"/>
    <x v="1"/>
    <x v="5"/>
    <s v="Stapler"/>
    <n v="6"/>
    <n v="3999"/>
    <n v="0.25"/>
    <n v="17995.5"/>
    <x v="0"/>
  </r>
  <r>
    <s v="ORD-1118"/>
    <x v="100"/>
    <s v="Meena Pillai"/>
    <s v="Pune"/>
    <x v="0"/>
    <x v="6"/>
    <s v="Knife Set"/>
    <n v="8"/>
    <n v="49999"/>
    <n v="0"/>
    <n v="399992"/>
    <x v="3"/>
  </r>
  <r>
    <s v="ORD-1119"/>
    <x v="18"/>
    <s v="Anjali Joshi"/>
    <s v="Kolkata"/>
    <x v="3"/>
    <x v="2"/>
    <s v="Cycle"/>
    <n v="2"/>
    <n v="4999"/>
    <n v="0"/>
    <n v="9998"/>
    <x v="0"/>
  </r>
  <r>
    <s v="ORD-1120"/>
    <x v="101"/>
    <s v="Neha Gupta"/>
    <s v="Kolkata"/>
    <x v="3"/>
    <x v="7"/>
    <s v="Laptop"/>
    <n v="6"/>
    <n v="299"/>
    <n v="0.1"/>
    <n v="1614.6"/>
    <x v="4"/>
  </r>
  <r>
    <s v="ORD-1121"/>
    <x v="102"/>
    <s v="Rekha Desai"/>
    <s v="Bangalore"/>
    <x v="2"/>
    <x v="2"/>
    <s v="Dumbbells"/>
    <n v="7"/>
    <n v="799"/>
    <n v="0.05"/>
    <n v="5313.35"/>
    <x v="1"/>
  </r>
  <r>
    <s v="ORD-1122"/>
    <x v="103"/>
    <s v="Divya Pandey"/>
    <s v="Pune"/>
    <x v="0"/>
    <x v="2"/>
    <s v="Yoga Mat"/>
    <n v="10"/>
    <n v="599"/>
    <n v="0.05"/>
    <n v="5690.5"/>
    <x v="2"/>
  </r>
  <r>
    <s v="ORD-1123"/>
    <x v="104"/>
    <s v="Deepak Yadav"/>
    <s v="Surat"/>
    <x v="0"/>
    <x v="0"/>
    <s v="Self-Help"/>
    <n v="1"/>
    <n v="9999"/>
    <n v="0.1"/>
    <n v="8999.1"/>
    <x v="3"/>
  </r>
  <r>
    <s v="ORD-1124"/>
    <x v="30"/>
    <s v="Mukesh Patil"/>
    <s v="Surat"/>
    <x v="0"/>
    <x v="6"/>
    <s v="Glass Set"/>
    <n v="5"/>
    <n v="4999"/>
    <n v="0.25"/>
    <n v="18746.25"/>
    <x v="4"/>
  </r>
  <r>
    <s v="ORD-1125"/>
    <x v="105"/>
    <s v="Kavita Shah"/>
    <s v="Chennai"/>
    <x v="2"/>
    <x v="1"/>
    <s v="Puzzle"/>
    <n v="2"/>
    <n v="1299"/>
    <n v="0.15"/>
    <n v="2208.3000000000002"/>
    <x v="3"/>
  </r>
  <r>
    <s v="ORD-1126"/>
    <x v="41"/>
    <s v="Rohit Malhotra"/>
    <s v="Kolkata"/>
    <x v="3"/>
    <x v="0"/>
    <s v="Novel"/>
    <n v="7"/>
    <n v="1499"/>
    <n v="0"/>
    <n v="10493"/>
    <x v="3"/>
  </r>
  <r>
    <s v="ORD-1127"/>
    <x v="106"/>
    <s v="Priya Patel"/>
    <s v="Jaipur"/>
    <x v="1"/>
    <x v="5"/>
    <s v="Stapler"/>
    <n v="4"/>
    <n v="2999"/>
    <n v="0.05"/>
    <n v="11396.2"/>
    <x v="1"/>
  </r>
  <r>
    <s v="ORD-1128"/>
    <x v="107"/>
    <s v="Deepak Yadav"/>
    <s v="Bangalore"/>
    <x v="2"/>
    <x v="4"/>
    <s v="Shoes"/>
    <n v="1"/>
    <n v="1999"/>
    <n v="0.15"/>
    <n v="1699.15"/>
    <x v="0"/>
  </r>
  <r>
    <s v="ORD-1129"/>
    <x v="29"/>
    <s v="Pooja Iyer"/>
    <s v="Bangalore"/>
    <x v="2"/>
    <x v="4"/>
    <s v="Saree"/>
    <n v="6"/>
    <n v="4999"/>
    <n v="0.05"/>
    <n v="28494.3"/>
    <x v="1"/>
  </r>
  <r>
    <s v="ORD-1130"/>
    <x v="108"/>
    <s v="Meena Pillai"/>
    <s v="Hyderabad"/>
    <x v="2"/>
    <x v="0"/>
    <s v="Textbook"/>
    <n v="5"/>
    <n v="14999"/>
    <n v="0.1"/>
    <n v="67495.5"/>
    <x v="4"/>
  </r>
  <r>
    <s v="ORD-1131"/>
    <x v="109"/>
    <s v="Arun Kapoor"/>
    <s v="Delhi"/>
    <x v="1"/>
    <x v="3"/>
    <s v="Table"/>
    <n v="7"/>
    <n v="49999"/>
    <n v="0.1"/>
    <n v="314993.7"/>
    <x v="0"/>
  </r>
  <r>
    <s v="ORD-1132"/>
    <x v="33"/>
    <s v="Rahul Sharma"/>
    <s v="Kolkata"/>
    <x v="3"/>
    <x v="4"/>
    <s v="Kurta"/>
    <n v="6"/>
    <n v="1499"/>
    <n v="0.2"/>
    <n v="7195.2"/>
    <x v="2"/>
  </r>
  <r>
    <s v="ORD-1133"/>
    <x v="104"/>
    <s v="Pooja Iyer"/>
    <s v="Delhi"/>
    <x v="1"/>
    <x v="2"/>
    <s v="Yoga Mat"/>
    <n v="1"/>
    <n v="49999"/>
    <n v="0.1"/>
    <n v="44999.1"/>
    <x v="3"/>
  </r>
  <r>
    <s v="ORD-1134"/>
    <x v="110"/>
    <s v="Amit Verma"/>
    <s v="Surat"/>
    <x v="0"/>
    <x v="0"/>
    <s v="Self-Help"/>
    <n v="7"/>
    <n v="499"/>
    <n v="0.05"/>
    <n v="3318.35"/>
    <x v="0"/>
  </r>
  <r>
    <s v="ORD-1135"/>
    <x v="111"/>
    <s v="Kavita Shah"/>
    <s v="Surat"/>
    <x v="0"/>
    <x v="4"/>
    <s v="T-Shirt"/>
    <n v="4"/>
    <n v="49999"/>
    <n v="0.05"/>
    <n v="189996.2"/>
    <x v="2"/>
  </r>
  <r>
    <s v="ORD-1136"/>
    <x v="28"/>
    <s v="Pooja Iyer"/>
    <s v="Ahmedabad"/>
    <x v="0"/>
    <x v="1"/>
    <s v="Board Game"/>
    <n v="3"/>
    <n v="4999"/>
    <n v="0.25"/>
    <n v="11247.75"/>
    <x v="0"/>
  </r>
  <r>
    <s v="ORD-1137"/>
    <x v="71"/>
    <s v="Divya Pandey"/>
    <s v="Pune"/>
    <x v="0"/>
    <x v="0"/>
    <s v="Novel"/>
    <n v="6"/>
    <n v="999"/>
    <n v="0.15"/>
    <n v="5094.8999999999996"/>
    <x v="2"/>
  </r>
  <r>
    <s v="ORD-1138"/>
    <x v="112"/>
    <s v="Pooja Iyer"/>
    <s v="Delhi"/>
    <x v="1"/>
    <x v="6"/>
    <s v="Glass Set"/>
    <n v="6"/>
    <n v="299"/>
    <n v="0.15"/>
    <n v="1524.9"/>
    <x v="4"/>
  </r>
  <r>
    <s v="ORD-1139"/>
    <x v="113"/>
    <s v="Sunita Singh"/>
    <s v="Surat"/>
    <x v="0"/>
    <x v="4"/>
    <s v="Shoes"/>
    <n v="4"/>
    <n v="199"/>
    <n v="0"/>
    <n v="796"/>
    <x v="4"/>
  </r>
  <r>
    <s v="ORD-1140"/>
    <x v="114"/>
    <s v="Vijay Kumar"/>
    <s v="Jaipur"/>
    <x v="1"/>
    <x v="2"/>
    <s v="Cricket Bat"/>
    <n v="9"/>
    <n v="999"/>
    <n v="0.2"/>
    <n v="7192.8"/>
    <x v="1"/>
  </r>
  <r>
    <s v="ORD-1141"/>
    <x v="115"/>
    <s v="Suresh Nair"/>
    <s v="Bangalore"/>
    <x v="2"/>
    <x v="7"/>
    <s v="Headphones"/>
    <n v="3"/>
    <n v="599"/>
    <n v="0.2"/>
    <n v="1437.6"/>
    <x v="4"/>
  </r>
  <r>
    <s v="ORD-1142"/>
    <x v="116"/>
    <s v="Sunita Singh"/>
    <s v="Mumbai"/>
    <x v="0"/>
    <x v="3"/>
    <s v="Chair"/>
    <n v="6"/>
    <n v="1299"/>
    <n v="0.2"/>
    <n v="6235.2"/>
    <x v="4"/>
  </r>
  <r>
    <s v="ORD-1143"/>
    <x v="117"/>
    <s v="Neha Gupta"/>
    <s v="Kolkata"/>
    <x v="3"/>
    <x v="7"/>
    <s v="Mobile Phone"/>
    <n v="7"/>
    <n v="24999"/>
    <n v="0"/>
    <n v="174993"/>
    <x v="0"/>
  </r>
  <r>
    <s v="ORD-1144"/>
    <x v="118"/>
    <s v="Arun Kapoor"/>
    <s v="Hyderabad"/>
    <x v="2"/>
    <x v="4"/>
    <s v="Kurta"/>
    <n v="9"/>
    <n v="1299"/>
    <n v="0.2"/>
    <n v="9352.7999999999993"/>
    <x v="0"/>
  </r>
  <r>
    <s v="ORD-1145"/>
    <x v="23"/>
    <s v="Vikram Reddy"/>
    <s v="Kolkata"/>
    <x v="3"/>
    <x v="5"/>
    <s v="Highlighter"/>
    <n v="1"/>
    <n v="299"/>
    <n v="0.15"/>
    <n v="254.15"/>
    <x v="2"/>
  </r>
  <r>
    <s v="ORD-1146"/>
    <x v="119"/>
    <s v="Sunita Singh"/>
    <s v="Surat"/>
    <x v="0"/>
    <x v="5"/>
    <s v="Notebook"/>
    <n v="2"/>
    <n v="2499"/>
    <n v="0.2"/>
    <n v="3998.4"/>
    <x v="1"/>
  </r>
  <r>
    <s v="ORD-1147"/>
    <x v="120"/>
    <s v="Vijay Kumar"/>
    <s v="Kolkata"/>
    <x v="3"/>
    <x v="6"/>
    <s v="Plate Set"/>
    <n v="10"/>
    <n v="24999"/>
    <n v="0.1"/>
    <n v="224991"/>
    <x v="2"/>
  </r>
  <r>
    <s v="ORD-1148"/>
    <x v="2"/>
    <s v="Divya Pandey"/>
    <s v="Pune"/>
    <x v="0"/>
    <x v="4"/>
    <s v="Shoes"/>
    <n v="2"/>
    <n v="49999"/>
    <n v="0.25"/>
    <n v="74998.5"/>
    <x v="1"/>
  </r>
  <r>
    <s v="ORD-1149"/>
    <x v="50"/>
    <s v="Arun Kapoor"/>
    <s v="Chennai"/>
    <x v="2"/>
    <x v="1"/>
    <s v="Remote Car"/>
    <n v="8"/>
    <n v="3999"/>
    <n v="0.15"/>
    <n v="27193.200000000001"/>
    <x v="0"/>
  </r>
  <r>
    <s v="ORD-1150"/>
    <x v="121"/>
    <s v="Rekha Desai"/>
    <s v="Hyderabad"/>
    <x v="2"/>
    <x v="0"/>
    <s v="Comic"/>
    <n v="3"/>
    <n v="14999"/>
    <n v="0"/>
    <n v="44997"/>
    <x v="0"/>
  </r>
  <r>
    <s v="ORD-1151"/>
    <x v="122"/>
    <s v="Amit Verma"/>
    <s v="Pune"/>
    <x v="0"/>
    <x v="4"/>
    <s v="Shoes"/>
    <n v="6"/>
    <n v="599"/>
    <n v="0.2"/>
    <n v="2875.2"/>
    <x v="0"/>
  </r>
  <r>
    <s v="ORD-1152"/>
    <x v="123"/>
    <s v="Meena Pillai"/>
    <s v="Ahmedabad"/>
    <x v="0"/>
    <x v="6"/>
    <s v="Knife Set"/>
    <n v="2"/>
    <n v="4999"/>
    <n v="0.1"/>
    <n v="8998.2000000000007"/>
    <x v="2"/>
  </r>
  <r>
    <s v="ORD-1153"/>
    <x v="92"/>
    <s v="Kavita Shah"/>
    <s v="Jaipur"/>
    <x v="1"/>
    <x v="0"/>
    <s v="Comic"/>
    <n v="2"/>
    <n v="24999"/>
    <n v="0.05"/>
    <n v="47498.1"/>
    <x v="1"/>
  </r>
  <r>
    <s v="ORD-1154"/>
    <x v="124"/>
    <s v="Sneha Bhatt"/>
    <s v="Chennai"/>
    <x v="2"/>
    <x v="4"/>
    <s v="Saree"/>
    <n v="9"/>
    <n v="2999"/>
    <n v="0"/>
    <n v="26991"/>
    <x v="4"/>
  </r>
  <r>
    <s v="ORD-1155"/>
    <x v="125"/>
    <s v="Anjali Joshi"/>
    <s v="Pune"/>
    <x v="0"/>
    <x v="7"/>
    <s v="Smart Watch"/>
    <n v="5"/>
    <n v="199"/>
    <n v="0.05"/>
    <n v="945.25"/>
    <x v="4"/>
  </r>
  <r>
    <s v="ORD-1156"/>
    <x v="84"/>
    <s v="Kavita Shah"/>
    <s v="Hyderabad"/>
    <x v="2"/>
    <x v="6"/>
    <s v="Mixer"/>
    <n v="3"/>
    <n v="599"/>
    <n v="0.2"/>
    <n v="1437.6"/>
    <x v="2"/>
  </r>
  <r>
    <s v="ORD-1157"/>
    <x v="18"/>
    <s v="Vijay Kumar"/>
    <s v="Mumbai"/>
    <x v="0"/>
    <x v="4"/>
    <s v="Shoes"/>
    <n v="9"/>
    <n v="999"/>
    <n v="0.15"/>
    <n v="7642.35"/>
    <x v="2"/>
  </r>
  <r>
    <s v="ORD-1158"/>
    <x v="28"/>
    <s v="Suresh Nair"/>
    <s v="Bangalore"/>
    <x v="2"/>
    <x v="6"/>
    <s v="Kadai"/>
    <n v="6"/>
    <n v="399"/>
    <n v="0"/>
    <n v="2394"/>
    <x v="1"/>
  </r>
  <r>
    <s v="ORD-1159"/>
    <x v="30"/>
    <s v="Divya Pandey"/>
    <s v="Mumbai"/>
    <x v="0"/>
    <x v="4"/>
    <s v="Saree"/>
    <n v="8"/>
    <n v="4999"/>
    <n v="0.15"/>
    <n v="33993.199999999997"/>
    <x v="3"/>
  </r>
  <r>
    <s v="ORD-1160"/>
    <x v="126"/>
    <s v="Rekha Desai"/>
    <s v="Kolkata"/>
    <x v="3"/>
    <x v="2"/>
    <s v="Dumbbells"/>
    <n v="2"/>
    <n v="2999"/>
    <n v="0.15"/>
    <n v="5098.3"/>
    <x v="0"/>
  </r>
  <r>
    <s v="ORD-1161"/>
    <x v="127"/>
    <s v="Rohit Malhotra"/>
    <s v="Surat"/>
    <x v="0"/>
    <x v="0"/>
    <s v="Novel"/>
    <n v="4"/>
    <n v="3999"/>
    <n v="0.2"/>
    <n v="12796.8"/>
    <x v="0"/>
  </r>
  <r>
    <s v="ORD-1162"/>
    <x v="128"/>
    <s v="Ravi Mehta"/>
    <s v="Kolkata"/>
    <x v="3"/>
    <x v="2"/>
    <s v="Football"/>
    <n v="5"/>
    <n v="1999"/>
    <n v="0.1"/>
    <n v="8995.5"/>
    <x v="0"/>
  </r>
  <r>
    <s v="ORD-1163"/>
    <x v="128"/>
    <s v="Sneha Bhatt"/>
    <s v="Pune"/>
    <x v="0"/>
    <x v="3"/>
    <s v="Table"/>
    <n v="7"/>
    <n v="49999"/>
    <n v="0.25"/>
    <n v="262494.75"/>
    <x v="1"/>
  </r>
  <r>
    <s v="ORD-1164"/>
    <x v="16"/>
    <s v="Meena Pillai"/>
    <s v="Hyderabad"/>
    <x v="2"/>
    <x v="4"/>
    <s v="Kurta"/>
    <n v="1"/>
    <n v="4999"/>
    <n v="0"/>
    <n v="4999"/>
    <x v="2"/>
  </r>
  <r>
    <s v="ORD-1165"/>
    <x v="129"/>
    <s v="Suresh Nair"/>
    <s v="Jaipur"/>
    <x v="1"/>
    <x v="1"/>
    <s v="Board Game"/>
    <n v="7"/>
    <n v="4999"/>
    <n v="0.1"/>
    <n v="31493.7"/>
    <x v="0"/>
  </r>
  <r>
    <s v="ORD-1166"/>
    <x v="130"/>
    <s v="Rahul Sharma"/>
    <s v="Hyderabad"/>
    <x v="2"/>
    <x v="3"/>
    <s v="Shelf"/>
    <n v="8"/>
    <n v="2999"/>
    <n v="0"/>
    <n v="23992"/>
    <x v="2"/>
  </r>
  <r>
    <s v="ORD-1167"/>
    <x v="131"/>
    <s v="Anjali Joshi"/>
    <s v="Pune"/>
    <x v="0"/>
    <x v="1"/>
    <s v="Board Game"/>
    <n v="2"/>
    <n v="3999"/>
    <n v="0.1"/>
    <n v="7198.2"/>
    <x v="4"/>
  </r>
  <r>
    <s v="ORD-1168"/>
    <x v="110"/>
    <s v="Suresh Nair"/>
    <s v="Bangalore"/>
    <x v="2"/>
    <x v="4"/>
    <s v="Jacket"/>
    <n v="2"/>
    <n v="24999"/>
    <n v="0.2"/>
    <n v="39998.400000000001"/>
    <x v="1"/>
  </r>
  <r>
    <s v="ORD-1169"/>
    <x v="132"/>
    <s v="Pooja Iyer"/>
    <s v="Bangalore"/>
    <x v="2"/>
    <x v="2"/>
    <s v="Cricket Bat"/>
    <n v="3"/>
    <n v="1499"/>
    <n v="0.05"/>
    <n v="4272.1499999999996"/>
    <x v="1"/>
  </r>
  <r>
    <s v="ORD-1170"/>
    <x v="133"/>
    <s v="Vijay Kumar"/>
    <s v="Delhi"/>
    <x v="1"/>
    <x v="3"/>
    <s v="Cabinet"/>
    <n v="8"/>
    <n v="9999"/>
    <n v="0.2"/>
    <n v="63993.599999999999"/>
    <x v="3"/>
  </r>
  <r>
    <s v="ORD-1171"/>
    <x v="134"/>
    <s v="Rohit Malhotra"/>
    <s v="Jaipur"/>
    <x v="1"/>
    <x v="6"/>
    <s v="Knife Set"/>
    <n v="6"/>
    <n v="599"/>
    <n v="0.15"/>
    <n v="3054.9"/>
    <x v="0"/>
  </r>
  <r>
    <s v="ORD-1172"/>
    <x v="135"/>
    <s v="Arun Kapoor"/>
    <s v="Kolkata"/>
    <x v="3"/>
    <x v="0"/>
    <s v="Cookbook"/>
    <n v="1"/>
    <n v="2999"/>
    <n v="0.2"/>
    <n v="2399.1999999999998"/>
    <x v="0"/>
  </r>
  <r>
    <s v="ORD-1173"/>
    <x v="136"/>
    <s v="Arun Kapoor"/>
    <s v="Surat"/>
    <x v="0"/>
    <x v="7"/>
    <s v="Laptop"/>
    <n v="6"/>
    <n v="1999"/>
    <n v="0"/>
    <n v="11994"/>
    <x v="0"/>
  </r>
  <r>
    <s v="ORD-1174"/>
    <x v="137"/>
    <s v="Divya Pandey"/>
    <s v="Ahmedabad"/>
    <x v="0"/>
    <x v="1"/>
    <s v="Puzzle"/>
    <n v="10"/>
    <n v="49999"/>
    <n v="0.25"/>
    <n v="374992.5"/>
    <x v="0"/>
  </r>
  <r>
    <s v="ORD-1175"/>
    <x v="138"/>
    <s v="Rohit Malhotra"/>
    <s v="Chennai"/>
    <x v="2"/>
    <x v="6"/>
    <s v="Glass Set"/>
    <n v="8"/>
    <n v="24999"/>
    <n v="0.05"/>
    <n v="189992.4"/>
    <x v="0"/>
  </r>
  <r>
    <s v="ORD-1176"/>
    <x v="138"/>
    <s v="Sunita Singh"/>
    <s v="Hyderabad"/>
    <x v="2"/>
    <x v="4"/>
    <s v="Jacket"/>
    <n v="3"/>
    <n v="299"/>
    <n v="0.05"/>
    <n v="852.15"/>
    <x v="2"/>
  </r>
  <r>
    <s v="ORD-1177"/>
    <x v="20"/>
    <s v="Vikram Reddy"/>
    <s v="Ahmedabad"/>
    <x v="0"/>
    <x v="3"/>
    <s v="Sofa"/>
    <n v="6"/>
    <n v="1999"/>
    <n v="0.15"/>
    <n v="10194.9"/>
    <x v="2"/>
  </r>
  <r>
    <s v="ORD-1178"/>
    <x v="139"/>
    <s v="Divya Pandey"/>
    <s v="Mumbai"/>
    <x v="0"/>
    <x v="6"/>
    <s v="Mixer"/>
    <n v="6"/>
    <n v="499"/>
    <n v="0.2"/>
    <n v="2395.1999999999998"/>
    <x v="2"/>
  </r>
  <r>
    <s v="ORD-1179"/>
    <x v="127"/>
    <s v="Deepak Yadav"/>
    <s v="Jaipur"/>
    <x v="1"/>
    <x v="3"/>
    <s v="Sofa"/>
    <n v="2"/>
    <n v="599"/>
    <n v="0.1"/>
    <n v="1078.2"/>
    <x v="4"/>
  </r>
  <r>
    <s v="ORD-1180"/>
    <x v="140"/>
    <s v="Manoj Tiwari"/>
    <s v="Bangalore"/>
    <x v="2"/>
    <x v="4"/>
    <s v="Saree"/>
    <n v="9"/>
    <n v="3999"/>
    <n v="0.25"/>
    <n v="26993.25"/>
    <x v="4"/>
  </r>
  <r>
    <s v="ORD-1181"/>
    <x v="141"/>
    <s v="Vikram Reddy"/>
    <s v="Delhi"/>
    <x v="1"/>
    <x v="1"/>
    <s v="Board Game"/>
    <n v="6"/>
    <n v="199"/>
    <n v="0.1"/>
    <n v="1074.5999999999999"/>
    <x v="4"/>
  </r>
  <r>
    <s v="ORD-1182"/>
    <x v="142"/>
    <s v="Ravi Mehta"/>
    <s v="Hyderabad"/>
    <x v="2"/>
    <x v="5"/>
    <s v="Pen Set"/>
    <n v="4"/>
    <n v="599"/>
    <n v="0.05"/>
    <n v="2276.1999999999998"/>
    <x v="0"/>
  </r>
  <r>
    <s v="ORD-1183"/>
    <x v="143"/>
    <s v="Sunita Singh"/>
    <s v="Ahmedabad"/>
    <x v="0"/>
    <x v="7"/>
    <s v="Charger"/>
    <n v="6"/>
    <n v="599"/>
    <n v="0.2"/>
    <n v="2875.2"/>
    <x v="2"/>
  </r>
  <r>
    <s v="ORD-1184"/>
    <x v="17"/>
    <s v="Neha Gupta"/>
    <s v="Bangalore"/>
    <x v="2"/>
    <x v="3"/>
    <s v="Cabinet"/>
    <n v="8"/>
    <n v="299"/>
    <n v="0.15"/>
    <n v="2033.2"/>
    <x v="4"/>
  </r>
  <r>
    <s v="ORD-1185"/>
    <x v="1"/>
    <s v="Anjali Joshi"/>
    <s v="Surat"/>
    <x v="0"/>
    <x v="0"/>
    <s v="Self-Help"/>
    <n v="8"/>
    <n v="1299"/>
    <n v="0.2"/>
    <n v="8313.6"/>
    <x v="1"/>
  </r>
  <r>
    <s v="ORD-1186"/>
    <x v="136"/>
    <s v="Sneha Bhatt"/>
    <s v="Chennai"/>
    <x v="2"/>
    <x v="6"/>
    <s v="Knife Set"/>
    <n v="10"/>
    <n v="9999"/>
    <n v="0.15"/>
    <n v="84991.5"/>
    <x v="4"/>
  </r>
  <r>
    <s v="ORD-1187"/>
    <x v="144"/>
    <s v="Vikram Reddy"/>
    <s v="Ahmedabad"/>
    <x v="0"/>
    <x v="1"/>
    <s v="Doll"/>
    <n v="4"/>
    <n v="599"/>
    <n v="0.1"/>
    <n v="2156.4"/>
    <x v="0"/>
  </r>
  <r>
    <s v="ORD-1188"/>
    <x v="145"/>
    <s v="Sneha Bhatt"/>
    <s v="Hyderabad"/>
    <x v="2"/>
    <x v="4"/>
    <s v="Shoes"/>
    <n v="9"/>
    <n v="499"/>
    <n v="0.1"/>
    <n v="4041.9"/>
    <x v="0"/>
  </r>
  <r>
    <s v="ORD-1189"/>
    <x v="89"/>
    <s v="Deepak Yadav"/>
    <s v="Surat"/>
    <x v="0"/>
    <x v="3"/>
    <s v="Bed Frame"/>
    <n v="2"/>
    <n v="1299"/>
    <n v="0.15"/>
    <n v="2208.3000000000002"/>
    <x v="4"/>
  </r>
  <r>
    <s v="ORD-1190"/>
    <x v="146"/>
    <s v="Rekha Desai"/>
    <s v="Mumbai"/>
    <x v="0"/>
    <x v="1"/>
    <s v="Board Game"/>
    <n v="6"/>
    <n v="1299"/>
    <n v="0.15"/>
    <n v="6624.9"/>
    <x v="0"/>
  </r>
  <r>
    <s v="ORD-1191"/>
    <x v="102"/>
    <s v="Anjali Joshi"/>
    <s v="Mumbai"/>
    <x v="0"/>
    <x v="6"/>
    <s v="Mixer"/>
    <n v="6"/>
    <n v="599"/>
    <n v="0.05"/>
    <n v="3414.3"/>
    <x v="0"/>
  </r>
  <r>
    <s v="ORD-1192"/>
    <x v="147"/>
    <s v="Sneha Bhatt"/>
    <s v="Bangalore"/>
    <x v="2"/>
    <x v="5"/>
    <s v="Calculator"/>
    <n v="10"/>
    <n v="199"/>
    <n v="0"/>
    <n v="1990"/>
    <x v="0"/>
  </r>
  <r>
    <s v="ORD-1193"/>
    <x v="148"/>
    <s v="Ravi Mehta"/>
    <s v="Bangalore"/>
    <x v="2"/>
    <x v="1"/>
    <s v="Lego Set"/>
    <n v="5"/>
    <n v="1299"/>
    <n v="0.1"/>
    <n v="5845.5"/>
    <x v="0"/>
  </r>
  <r>
    <s v="ORD-1194"/>
    <x v="13"/>
    <s v="Anjali Joshi"/>
    <s v="Pune"/>
    <x v="0"/>
    <x v="5"/>
    <s v="Notebook"/>
    <n v="2"/>
    <n v="14999"/>
    <n v="0.2"/>
    <n v="23998.400000000001"/>
    <x v="3"/>
  </r>
  <r>
    <s v="ORD-1195"/>
    <x v="117"/>
    <s v="Vikram Reddy"/>
    <s v="Jaipur"/>
    <x v="1"/>
    <x v="2"/>
    <s v="Cycle"/>
    <n v="3"/>
    <n v="1999"/>
    <n v="0.15"/>
    <n v="5097.45"/>
    <x v="0"/>
  </r>
  <r>
    <s v="ORD-1196"/>
    <x v="137"/>
    <s v="Pooja Iyer"/>
    <s v="Chennai"/>
    <x v="2"/>
    <x v="1"/>
    <s v="Doll"/>
    <n v="2"/>
    <n v="24999"/>
    <n v="0.1"/>
    <n v="44998.2"/>
    <x v="0"/>
  </r>
  <r>
    <s v="ORD-1197"/>
    <x v="149"/>
    <s v="Meena Pillai"/>
    <s v="Ahmedabad"/>
    <x v="0"/>
    <x v="7"/>
    <s v="Tablet"/>
    <n v="8"/>
    <n v="299"/>
    <n v="0.25"/>
    <n v="1794"/>
    <x v="2"/>
  </r>
  <r>
    <s v="ORD-1198"/>
    <x v="102"/>
    <s v="Deepak Yadav"/>
    <s v="Mumbai"/>
    <x v="0"/>
    <x v="6"/>
    <s v="Mixer"/>
    <n v="6"/>
    <n v="1299"/>
    <n v="0.25"/>
    <n v="5845.5"/>
    <x v="0"/>
  </r>
  <r>
    <s v="ORD-1199"/>
    <x v="150"/>
    <s v="Suresh Nair"/>
    <s v="Bangalore"/>
    <x v="2"/>
    <x v="7"/>
    <s v="Headphones"/>
    <n v="9"/>
    <n v="2499"/>
    <n v="0.25"/>
    <n v="16868.25"/>
    <x v="1"/>
  </r>
  <r>
    <s v="ORD-1200"/>
    <x v="151"/>
    <s v="Arun Kapoor"/>
    <s v="Surat"/>
    <x v="0"/>
    <x v="3"/>
    <s v="Table"/>
    <n v="2"/>
    <n v="9999"/>
    <n v="0"/>
    <n v="19998"/>
    <x v="4"/>
  </r>
  <r>
    <s v="ORD-1201"/>
    <x v="152"/>
    <s v="Priya Patel"/>
    <s v="Chennai"/>
    <x v="2"/>
    <x v="7"/>
    <s v="Headphones"/>
    <n v="5"/>
    <n v="24999"/>
    <n v="0.15"/>
    <n v="106245.75"/>
    <x v="3"/>
  </r>
  <r>
    <s v="ORD-1202"/>
    <x v="153"/>
    <s v="Deepak Yadav"/>
    <s v="Mumbai"/>
    <x v="0"/>
    <x v="2"/>
    <s v="Badminton Set"/>
    <n v="6"/>
    <n v="299"/>
    <n v="0.25"/>
    <n v="1345.5"/>
    <x v="4"/>
  </r>
  <r>
    <s v="ORD-1203"/>
    <x v="62"/>
    <s v="Sunita Singh"/>
    <s v="Hyderabad"/>
    <x v="2"/>
    <x v="1"/>
    <s v="Puzzle"/>
    <n v="8"/>
    <n v="3999"/>
    <n v="0.1"/>
    <n v="28792.799999999999"/>
    <x v="1"/>
  </r>
  <r>
    <s v="ORD-1204"/>
    <x v="154"/>
    <s v="Sneha Bhatt"/>
    <s v="Hyderabad"/>
    <x v="2"/>
    <x v="0"/>
    <s v="Novel"/>
    <n v="7"/>
    <n v="399"/>
    <n v="0.15"/>
    <n v="2374.0500000000002"/>
    <x v="3"/>
  </r>
  <r>
    <s v="ORD-1205"/>
    <x v="142"/>
    <s v="Meena Pillai"/>
    <s v="Kolkata"/>
    <x v="3"/>
    <x v="6"/>
    <s v="Mixer"/>
    <n v="2"/>
    <n v="2499"/>
    <n v="0.25"/>
    <n v="3748.5"/>
    <x v="4"/>
  </r>
  <r>
    <s v="ORD-1206"/>
    <x v="155"/>
    <s v="Arun Kapoor"/>
    <s v="Jaipur"/>
    <x v="1"/>
    <x v="1"/>
    <s v="Doll"/>
    <n v="8"/>
    <n v="2999"/>
    <n v="0.15"/>
    <n v="20393.2"/>
    <x v="0"/>
  </r>
  <r>
    <s v="ORD-1207"/>
    <x v="61"/>
    <s v="Divya Pandey"/>
    <s v="Pune"/>
    <x v="0"/>
    <x v="0"/>
    <s v="Self-Help"/>
    <n v="1"/>
    <n v="399"/>
    <n v="0.25"/>
    <n v="299.25"/>
    <x v="2"/>
  </r>
  <r>
    <s v="ORD-1208"/>
    <x v="156"/>
    <s v="Vikram Reddy"/>
    <s v="Bangalore"/>
    <x v="2"/>
    <x v="7"/>
    <s v="Mobile Phone"/>
    <n v="10"/>
    <n v="9999"/>
    <n v="0"/>
    <n v="99990"/>
    <x v="1"/>
  </r>
  <r>
    <s v="ORD-1209"/>
    <x v="157"/>
    <s v="Anjali Joshi"/>
    <s v="Hyderabad"/>
    <x v="2"/>
    <x v="6"/>
    <s v="Plate Set"/>
    <n v="10"/>
    <n v="299"/>
    <n v="0.2"/>
    <n v="2392"/>
    <x v="1"/>
  </r>
  <r>
    <s v="ORD-1210"/>
    <x v="158"/>
    <s v="Arun Kapoor"/>
    <s v="Hyderabad"/>
    <x v="2"/>
    <x v="6"/>
    <s v="Plate Set"/>
    <n v="2"/>
    <n v="599"/>
    <n v="0.2"/>
    <n v="958.4"/>
    <x v="4"/>
  </r>
  <r>
    <s v="ORD-1211"/>
    <x v="159"/>
    <s v="Suresh Nair"/>
    <s v="Kolkata"/>
    <x v="3"/>
    <x v="2"/>
    <s v="Cricket Bat"/>
    <n v="1"/>
    <n v="799"/>
    <n v="0.15"/>
    <n v="679.15"/>
    <x v="3"/>
  </r>
  <r>
    <s v="ORD-1212"/>
    <x v="160"/>
    <s v="Meena Pillai"/>
    <s v="Delhi"/>
    <x v="1"/>
    <x v="0"/>
    <s v="Comic"/>
    <n v="8"/>
    <n v="999"/>
    <n v="0.2"/>
    <n v="6393.6"/>
    <x v="4"/>
  </r>
  <r>
    <s v="ORD-1213"/>
    <x v="161"/>
    <s v="Sneha Bhatt"/>
    <s v="Chennai"/>
    <x v="2"/>
    <x v="4"/>
    <s v="Jeans"/>
    <n v="2"/>
    <n v="9999"/>
    <n v="0.05"/>
    <n v="18998.099999999999"/>
    <x v="2"/>
  </r>
  <r>
    <s v="ORD-1214"/>
    <x v="73"/>
    <s v="Suresh Nair"/>
    <s v="Hyderabad"/>
    <x v="2"/>
    <x v="4"/>
    <s v="Jacket"/>
    <n v="9"/>
    <n v="1999"/>
    <n v="0.1"/>
    <n v="16191.9"/>
    <x v="1"/>
  </r>
  <r>
    <s v="ORD-1215"/>
    <x v="162"/>
    <s v="Yash Patel"/>
    <s v="Hyderabad"/>
    <x v="2"/>
    <x v="2"/>
    <s v="Cricket Bat"/>
    <n v="4"/>
    <n v="599"/>
    <n v="0.05"/>
    <n v="2276.1999999999998"/>
    <x v="2"/>
  </r>
  <r>
    <s v="ORD-1216"/>
    <x v="146"/>
    <s v="Pooja Iyer"/>
    <s v="Ahmedabad"/>
    <x v="0"/>
    <x v="6"/>
    <s v="Plate Set"/>
    <n v="9"/>
    <n v="599"/>
    <n v="0.2"/>
    <n v="4312.8"/>
    <x v="0"/>
  </r>
  <r>
    <s v="ORD-1217"/>
    <x v="120"/>
    <s v="Kavita Shah"/>
    <s v="Pune"/>
    <x v="0"/>
    <x v="5"/>
    <s v="Folder"/>
    <n v="7"/>
    <n v="4999"/>
    <n v="0.2"/>
    <n v="27994.400000000001"/>
    <x v="0"/>
  </r>
  <r>
    <s v="ORD-1218"/>
    <x v="163"/>
    <s v="Suresh Nair"/>
    <s v="Delhi"/>
    <x v="1"/>
    <x v="5"/>
    <s v="Calculator"/>
    <n v="9"/>
    <n v="2999"/>
    <n v="0.05"/>
    <n v="25641.45"/>
    <x v="3"/>
  </r>
  <r>
    <s v="ORD-1219"/>
    <x v="0"/>
    <s v="Rohit Malhotra"/>
    <s v="Bangalore"/>
    <x v="2"/>
    <x v="3"/>
    <s v="Bed Frame"/>
    <n v="9"/>
    <n v="299"/>
    <n v="0"/>
    <n v="2691"/>
    <x v="3"/>
  </r>
  <r>
    <s v="ORD-1220"/>
    <x v="17"/>
    <s v="Kavita Shah"/>
    <s v="Bangalore"/>
    <x v="2"/>
    <x v="3"/>
    <s v="Sofa"/>
    <n v="4"/>
    <n v="2999"/>
    <n v="0.2"/>
    <n v="9596.7999999999993"/>
    <x v="4"/>
  </r>
  <r>
    <s v="ORD-1221"/>
    <x v="103"/>
    <s v="Deepak Yadav"/>
    <s v="Chennai"/>
    <x v="2"/>
    <x v="0"/>
    <s v="Textbook"/>
    <n v="5"/>
    <n v="49999"/>
    <n v="0"/>
    <n v="249995"/>
    <x v="3"/>
  </r>
  <r>
    <s v="ORD-1222"/>
    <x v="145"/>
    <s v="Neha Gupta"/>
    <s v="Jaipur"/>
    <x v="1"/>
    <x v="3"/>
    <s v="Table"/>
    <n v="10"/>
    <n v="2499"/>
    <n v="0.2"/>
    <n v="19992"/>
    <x v="0"/>
  </r>
  <r>
    <s v="ORD-1223"/>
    <x v="164"/>
    <s v="Amit Verma"/>
    <s v="Mumbai"/>
    <x v="0"/>
    <x v="0"/>
    <s v="Self-Help"/>
    <n v="4"/>
    <n v="4999"/>
    <n v="0.2"/>
    <n v="15996.8"/>
    <x v="0"/>
  </r>
  <r>
    <s v="ORD-1224"/>
    <x v="154"/>
    <s v="Meena Pillai"/>
    <s v="Kolkata"/>
    <x v="3"/>
    <x v="0"/>
    <s v="Dictionary"/>
    <n v="4"/>
    <n v="3999"/>
    <n v="0.1"/>
    <n v="14396.4"/>
    <x v="2"/>
  </r>
  <r>
    <s v="ORD-1225"/>
    <x v="165"/>
    <s v="Priya Patel"/>
    <s v="Bangalore"/>
    <x v="2"/>
    <x v="5"/>
    <s v="Calculator"/>
    <n v="8"/>
    <n v="9999"/>
    <n v="0.05"/>
    <n v="75992.399999999994"/>
    <x v="4"/>
  </r>
  <r>
    <s v="ORD-1226"/>
    <x v="166"/>
    <s v="Vijay Kumar"/>
    <s v="Hyderabad"/>
    <x v="2"/>
    <x v="6"/>
    <s v="Knife Set"/>
    <n v="6"/>
    <n v="3999"/>
    <n v="0.05"/>
    <n v="22794.3"/>
    <x v="4"/>
  </r>
  <r>
    <s v="ORD-1227"/>
    <x v="167"/>
    <s v="Meena Pillai"/>
    <s v="Delhi"/>
    <x v="1"/>
    <x v="6"/>
    <s v="Pressure Cooker"/>
    <n v="8"/>
    <n v="499"/>
    <n v="0.1"/>
    <n v="3592.8"/>
    <x v="2"/>
  </r>
  <r>
    <s v="ORD-1228"/>
    <x v="168"/>
    <s v="Vijay Kumar"/>
    <s v="Delhi"/>
    <x v="1"/>
    <x v="7"/>
    <s v="Headphones"/>
    <n v="7"/>
    <n v="4999"/>
    <n v="0.05"/>
    <n v="33243.35"/>
    <x v="1"/>
  </r>
  <r>
    <s v="ORD-1229"/>
    <x v="65"/>
    <s v="Rohit Malhotra"/>
    <s v="Hyderabad"/>
    <x v="2"/>
    <x v="2"/>
    <s v="Football"/>
    <n v="8"/>
    <n v="24999"/>
    <n v="0.15"/>
    <n v="169993.2"/>
    <x v="2"/>
  </r>
  <r>
    <s v="ORD-1230"/>
    <x v="169"/>
    <s v="Sneha Bhatt"/>
    <s v="Mumbai"/>
    <x v="0"/>
    <x v="4"/>
    <s v="Kurta"/>
    <n v="9"/>
    <n v="9999"/>
    <n v="0.05"/>
    <n v="85491.45"/>
    <x v="1"/>
  </r>
  <r>
    <s v="ORD-1231"/>
    <x v="40"/>
    <s v="Pooja Iyer"/>
    <s v="Mumbai"/>
    <x v="0"/>
    <x v="7"/>
    <s v="Headphones"/>
    <n v="8"/>
    <n v="14999"/>
    <n v="0.1"/>
    <n v="107992.8"/>
    <x v="3"/>
  </r>
  <r>
    <s v="ORD-1232"/>
    <x v="36"/>
    <s v="Sunita Singh"/>
    <s v="Pune"/>
    <x v="0"/>
    <x v="3"/>
    <s v="Sofa"/>
    <n v="6"/>
    <n v="3999"/>
    <n v="0.1"/>
    <n v="21594.6"/>
    <x v="0"/>
  </r>
  <r>
    <s v="ORD-1233"/>
    <x v="170"/>
    <s v="Priya Patel"/>
    <s v="Jaipur"/>
    <x v="1"/>
    <x v="2"/>
    <s v="Badminton Set"/>
    <n v="9"/>
    <n v="1999"/>
    <n v="0"/>
    <n v="17991"/>
    <x v="2"/>
  </r>
  <r>
    <s v="ORD-1234"/>
    <x v="2"/>
    <s v="Arun Kapoor"/>
    <s v="Ahmedabad"/>
    <x v="0"/>
    <x v="0"/>
    <s v="Cookbook"/>
    <n v="10"/>
    <n v="499"/>
    <n v="0.05"/>
    <n v="4740.5"/>
    <x v="0"/>
  </r>
  <r>
    <s v="ORD-1235"/>
    <x v="171"/>
    <s v="Pooja Iyer"/>
    <s v="Hyderabad"/>
    <x v="2"/>
    <x v="6"/>
    <s v="Pressure Cooker"/>
    <n v="4"/>
    <n v="24999"/>
    <n v="0.15"/>
    <n v="84996.6"/>
    <x v="3"/>
  </r>
  <r>
    <s v="ORD-1236"/>
    <x v="172"/>
    <s v="Priya Patel"/>
    <s v="Mumbai"/>
    <x v="0"/>
    <x v="3"/>
    <s v="Cabinet"/>
    <n v="6"/>
    <n v="14999"/>
    <n v="0.2"/>
    <n v="71995.199999999997"/>
    <x v="2"/>
  </r>
  <r>
    <s v="ORD-1237"/>
    <x v="173"/>
    <s v="Divya Pandey"/>
    <s v="Ahmedabad"/>
    <x v="0"/>
    <x v="3"/>
    <s v="Sofa"/>
    <n v="10"/>
    <n v="2499"/>
    <n v="0.05"/>
    <n v="23740.5"/>
    <x v="2"/>
  </r>
  <r>
    <s v="ORD-1238"/>
    <x v="49"/>
    <s v="Kavita Shah"/>
    <s v="Jaipur"/>
    <x v="1"/>
    <x v="6"/>
    <s v="Glass Set"/>
    <n v="9"/>
    <n v="49999"/>
    <n v="0.15"/>
    <n v="382492.35"/>
    <x v="3"/>
  </r>
  <r>
    <s v="ORD-1239"/>
    <x v="174"/>
    <s v="Sneha Bhatt"/>
    <s v="Mumbai"/>
    <x v="0"/>
    <x v="6"/>
    <s v="Kadai"/>
    <n v="2"/>
    <n v="4999"/>
    <n v="0.2"/>
    <n v="7998.4"/>
    <x v="4"/>
  </r>
  <r>
    <s v="ORD-1240"/>
    <x v="175"/>
    <s v="Rahul Sharma"/>
    <s v="Jaipur"/>
    <x v="1"/>
    <x v="5"/>
    <s v="Stapler"/>
    <n v="10"/>
    <n v="1299"/>
    <n v="0.25"/>
    <n v="9742.5"/>
    <x v="0"/>
  </r>
  <r>
    <s v="ORD-1241"/>
    <x v="40"/>
    <s v="Sneha Bhatt"/>
    <s v="Bangalore"/>
    <x v="2"/>
    <x v="1"/>
    <s v="Doll"/>
    <n v="4"/>
    <n v="299"/>
    <n v="0.2"/>
    <n v="956.8"/>
    <x v="0"/>
  </r>
  <r>
    <s v="ORD-1242"/>
    <x v="113"/>
    <s v="Rahul Sharma"/>
    <s v="Surat"/>
    <x v="0"/>
    <x v="6"/>
    <s v="Plate Set"/>
    <n v="3"/>
    <n v="4999"/>
    <n v="0.25"/>
    <n v="11247.75"/>
    <x v="1"/>
  </r>
  <r>
    <s v="ORD-1243"/>
    <x v="176"/>
    <s v="Vikram Reddy"/>
    <s v="Jaipur"/>
    <x v="1"/>
    <x v="5"/>
    <s v="Highlighter"/>
    <n v="1"/>
    <n v="599"/>
    <n v="0.2"/>
    <n v="479.2"/>
    <x v="1"/>
  </r>
  <r>
    <s v="ORD-1244"/>
    <x v="39"/>
    <s v="Suresh Nair"/>
    <s v="Surat"/>
    <x v="0"/>
    <x v="1"/>
    <s v="Remote Car"/>
    <n v="3"/>
    <n v="9999"/>
    <n v="0.2"/>
    <n v="23997.599999999999"/>
    <x v="4"/>
  </r>
  <r>
    <s v="ORD-1245"/>
    <x v="177"/>
    <s v="Pooja Iyer"/>
    <s v="Kolkata"/>
    <x v="3"/>
    <x v="5"/>
    <s v="Pen Set"/>
    <n v="4"/>
    <n v="1499"/>
    <n v="0.2"/>
    <n v="4796.8"/>
    <x v="4"/>
  </r>
  <r>
    <s v="ORD-1246"/>
    <x v="178"/>
    <s v="Kavita Shah"/>
    <s v="Kolkata"/>
    <x v="3"/>
    <x v="2"/>
    <s v="Cycle"/>
    <n v="8"/>
    <n v="2499"/>
    <n v="0.15"/>
    <n v="16993.2"/>
    <x v="4"/>
  </r>
  <r>
    <s v="ORD-1247"/>
    <x v="179"/>
    <s v="Deepak Yadav"/>
    <s v="Kolkata"/>
    <x v="3"/>
    <x v="4"/>
    <s v="Jacket"/>
    <n v="9"/>
    <n v="3999"/>
    <n v="0.15"/>
    <n v="30592.35"/>
    <x v="4"/>
  </r>
  <r>
    <s v="ORD-1248"/>
    <x v="180"/>
    <s v="Kavita Shah"/>
    <s v="Mumbai"/>
    <x v="0"/>
    <x v="0"/>
    <s v="Self-Help"/>
    <n v="2"/>
    <n v="2999"/>
    <n v="0.15"/>
    <n v="5098.3"/>
    <x v="4"/>
  </r>
  <r>
    <s v="ORD-1249"/>
    <x v="181"/>
    <s v="Ravi Mehta"/>
    <s v="Chennai"/>
    <x v="2"/>
    <x v="0"/>
    <s v="Cookbook"/>
    <n v="5"/>
    <n v="599"/>
    <n v="0"/>
    <n v="2995"/>
    <x v="3"/>
  </r>
  <r>
    <s v="ORD-1250"/>
    <x v="123"/>
    <s v="Anjali Joshi"/>
    <s v="Chennai"/>
    <x v="2"/>
    <x v="7"/>
    <s v="Charger"/>
    <n v="9"/>
    <n v="1299"/>
    <n v="0.25"/>
    <n v="8768.25"/>
    <x v="1"/>
  </r>
  <r>
    <s v="ORD-1251"/>
    <x v="92"/>
    <s v="Sunita Singh"/>
    <s v="Pune"/>
    <x v="0"/>
    <x v="6"/>
    <s v="Knife Set"/>
    <n v="8"/>
    <n v="499"/>
    <n v="0.25"/>
    <n v="2994"/>
    <x v="1"/>
  </r>
  <r>
    <s v="ORD-1252"/>
    <x v="182"/>
    <s v="Meena Pillai"/>
    <s v="Bangalore"/>
    <x v="2"/>
    <x v="1"/>
    <s v="Action Figure"/>
    <n v="8"/>
    <n v="14999"/>
    <n v="0.25"/>
    <n v="89994"/>
    <x v="1"/>
  </r>
  <r>
    <s v="ORD-1253"/>
    <x v="183"/>
    <s v="Suresh Nair"/>
    <s v="Kolkata"/>
    <x v="3"/>
    <x v="7"/>
    <s v="Laptop"/>
    <n v="10"/>
    <n v="1299"/>
    <n v="0.2"/>
    <n v="10392"/>
    <x v="0"/>
  </r>
  <r>
    <s v="ORD-1254"/>
    <x v="116"/>
    <s v="Rekha Desai"/>
    <s v="Bangalore"/>
    <x v="2"/>
    <x v="7"/>
    <s v="Tablet"/>
    <n v="8"/>
    <n v="799"/>
    <n v="0.25"/>
    <n v="4794"/>
    <x v="4"/>
  </r>
  <r>
    <s v="ORD-1255"/>
    <x v="111"/>
    <s v="Rahul Sharma"/>
    <s v="Kolkata"/>
    <x v="3"/>
    <x v="4"/>
    <s v="Saree"/>
    <n v="5"/>
    <n v="9999"/>
    <n v="0.25"/>
    <n v="37496.25"/>
    <x v="3"/>
  </r>
  <r>
    <s v="ORD-1256"/>
    <x v="184"/>
    <s v="Sneha Bhatt"/>
    <s v="Bangalore"/>
    <x v="2"/>
    <x v="5"/>
    <s v="Stapler"/>
    <n v="4"/>
    <n v="499"/>
    <n v="0.1"/>
    <n v="1796.4"/>
    <x v="1"/>
  </r>
  <r>
    <s v="ORD-1257"/>
    <x v="185"/>
    <s v="Deepak Yadav"/>
    <s v="Bangalore"/>
    <x v="2"/>
    <x v="7"/>
    <s v="Charger"/>
    <n v="6"/>
    <n v="1999"/>
    <n v="0.2"/>
    <n v="9595.2000000000007"/>
    <x v="1"/>
  </r>
  <r>
    <s v="ORD-1258"/>
    <x v="116"/>
    <s v="Divya Pandey"/>
    <s v="Pune"/>
    <x v="0"/>
    <x v="1"/>
    <s v="Board Game"/>
    <n v="6"/>
    <n v="399"/>
    <n v="0.15"/>
    <n v="2034.9"/>
    <x v="0"/>
  </r>
  <r>
    <s v="ORD-1259"/>
    <x v="186"/>
    <s v="Vijay Kumar"/>
    <s v="Surat"/>
    <x v="0"/>
    <x v="6"/>
    <s v="Pressure Cooker"/>
    <n v="1"/>
    <n v="1499"/>
    <n v="0.15"/>
    <n v="1274.1500000000001"/>
    <x v="1"/>
  </r>
  <r>
    <s v="ORD-1260"/>
    <x v="57"/>
    <s v="Deepak Yadav"/>
    <s v="Hyderabad"/>
    <x v="2"/>
    <x v="0"/>
    <s v="Cookbook"/>
    <n v="10"/>
    <n v="199"/>
    <n v="0.1"/>
    <n v="1791"/>
    <x v="4"/>
  </r>
  <r>
    <s v="ORD-1261"/>
    <x v="187"/>
    <s v="Anjali Joshi"/>
    <s v="Mumbai"/>
    <x v="0"/>
    <x v="4"/>
    <s v="Kurta"/>
    <n v="5"/>
    <n v="799"/>
    <n v="0.15"/>
    <n v="3395.75"/>
    <x v="3"/>
  </r>
  <r>
    <s v="ORD-1262"/>
    <x v="188"/>
    <s v="Kavita Shah"/>
    <s v="Delhi"/>
    <x v="1"/>
    <x v="0"/>
    <s v="Comic"/>
    <n v="10"/>
    <n v="1299"/>
    <n v="0.05"/>
    <n v="12340.5"/>
    <x v="1"/>
  </r>
  <r>
    <s v="ORD-1263"/>
    <x v="189"/>
    <s v="Vijay Kumar"/>
    <s v="Surat"/>
    <x v="0"/>
    <x v="6"/>
    <s v="Plate Set"/>
    <n v="9"/>
    <n v="14999"/>
    <n v="0.2"/>
    <n v="107992.8"/>
    <x v="1"/>
  </r>
  <r>
    <s v="ORD-1264"/>
    <x v="168"/>
    <s v="Divya Pandey"/>
    <s v="Delhi"/>
    <x v="1"/>
    <x v="5"/>
    <s v="Folder"/>
    <n v="6"/>
    <n v="399"/>
    <n v="0.2"/>
    <n v="1915.2"/>
    <x v="0"/>
  </r>
  <r>
    <s v="ORD-1265"/>
    <x v="24"/>
    <s v="Meena Pillai"/>
    <s v="Ahmedabad"/>
    <x v="0"/>
    <x v="2"/>
    <s v="Dumbbells"/>
    <n v="9"/>
    <n v="599"/>
    <n v="0.05"/>
    <n v="5121.45"/>
    <x v="4"/>
  </r>
  <r>
    <s v="ORD-1266"/>
    <x v="190"/>
    <s v="Arun Kapoor"/>
    <s v="Delhi"/>
    <x v="1"/>
    <x v="2"/>
    <s v="Cycle"/>
    <n v="10"/>
    <n v="14999"/>
    <n v="0"/>
    <n v="149990"/>
    <x v="3"/>
  </r>
  <r>
    <s v="ORD-1267"/>
    <x v="57"/>
    <s v="Priya Patel"/>
    <s v="Surat"/>
    <x v="0"/>
    <x v="3"/>
    <s v="Shelf"/>
    <n v="7"/>
    <n v="9999"/>
    <n v="0.2"/>
    <n v="55994.400000000001"/>
    <x v="0"/>
  </r>
  <r>
    <s v="ORD-1268"/>
    <x v="179"/>
    <s v="Arun Kapoor"/>
    <s v="Kolkata"/>
    <x v="3"/>
    <x v="7"/>
    <s v="Tablet"/>
    <n v="5"/>
    <n v="199"/>
    <n v="0.25"/>
    <n v="746.25"/>
    <x v="1"/>
  </r>
  <r>
    <s v="ORD-1269"/>
    <x v="29"/>
    <s v="Amit Verma"/>
    <s v="Mumbai"/>
    <x v="0"/>
    <x v="1"/>
    <s v="Remote Car"/>
    <n v="2"/>
    <n v="49999"/>
    <n v="0"/>
    <n v="99998"/>
    <x v="0"/>
  </r>
  <r>
    <s v="ORD-1270"/>
    <x v="191"/>
    <s v="Priya Patel"/>
    <s v="Kolkata"/>
    <x v="3"/>
    <x v="1"/>
    <s v="Doll"/>
    <n v="3"/>
    <n v="4999"/>
    <n v="0.1"/>
    <n v="13497.3"/>
    <x v="2"/>
  </r>
  <r>
    <s v="ORD-1271"/>
    <x v="134"/>
    <s v="Manoj Tiwari"/>
    <s v="Pune"/>
    <x v="0"/>
    <x v="4"/>
    <s v="Shoes"/>
    <n v="9"/>
    <n v="599"/>
    <n v="0.25"/>
    <n v="4043.25"/>
    <x v="4"/>
  </r>
  <r>
    <s v="ORD-1272"/>
    <x v="82"/>
    <s v="Neha Gupta"/>
    <s v="Ahmedabad"/>
    <x v="0"/>
    <x v="1"/>
    <s v="Board Game"/>
    <n v="3"/>
    <n v="1299"/>
    <n v="0"/>
    <n v="3897"/>
    <x v="0"/>
  </r>
  <r>
    <s v="ORD-1273"/>
    <x v="192"/>
    <s v="Arun Kapoor"/>
    <s v="Ahmedabad"/>
    <x v="0"/>
    <x v="1"/>
    <s v="Board Game"/>
    <n v="7"/>
    <n v="1299"/>
    <n v="0.05"/>
    <n v="8638.35"/>
    <x v="2"/>
  </r>
  <r>
    <s v="ORD-1274"/>
    <x v="70"/>
    <s v="Vijay Kumar"/>
    <s v="Kolkata"/>
    <x v="3"/>
    <x v="2"/>
    <s v="Cycle"/>
    <n v="2"/>
    <n v="299"/>
    <n v="0.25"/>
    <n v="448.5"/>
    <x v="2"/>
  </r>
  <r>
    <s v="ORD-1275"/>
    <x v="137"/>
    <s v="Rahul Sharma"/>
    <s v="Chennai"/>
    <x v="2"/>
    <x v="2"/>
    <s v="Cricket Bat"/>
    <n v="2"/>
    <n v="299"/>
    <n v="0.15"/>
    <n v="508.3"/>
    <x v="3"/>
  </r>
  <r>
    <s v="ORD-1276"/>
    <x v="52"/>
    <s v="Priya Patel"/>
    <s v="Chennai"/>
    <x v="2"/>
    <x v="7"/>
    <s v="Tablet"/>
    <n v="8"/>
    <n v="1299"/>
    <n v="0.2"/>
    <n v="8313.6"/>
    <x v="1"/>
  </r>
  <r>
    <s v="ORD-1277"/>
    <x v="193"/>
    <s v="Vijay Kumar"/>
    <s v="Ahmedabad"/>
    <x v="0"/>
    <x v="0"/>
    <s v="Textbook"/>
    <n v="10"/>
    <n v="2499"/>
    <n v="0.2"/>
    <n v="19992"/>
    <x v="3"/>
  </r>
  <r>
    <s v="ORD-1278"/>
    <x v="52"/>
    <s v="Suresh Nair"/>
    <s v="Chennai"/>
    <x v="2"/>
    <x v="0"/>
    <s v="Textbook"/>
    <n v="9"/>
    <n v="1299"/>
    <n v="0.15"/>
    <n v="9937.35"/>
    <x v="4"/>
  </r>
  <r>
    <s v="ORD-1279"/>
    <x v="194"/>
    <s v="Priya Patel"/>
    <s v="Ahmedabad"/>
    <x v="0"/>
    <x v="3"/>
    <s v="Cabinet"/>
    <n v="7"/>
    <n v="49999"/>
    <n v="0.15"/>
    <n v="297494.05"/>
    <x v="0"/>
  </r>
  <r>
    <s v="ORD-1280"/>
    <x v="195"/>
    <s v="Manoj Tiwari"/>
    <s v="Ahmedabad"/>
    <x v="0"/>
    <x v="6"/>
    <s v="Knife Set"/>
    <n v="7"/>
    <n v="4999"/>
    <n v="0.05"/>
    <n v="33243.35"/>
    <x v="4"/>
  </r>
  <r>
    <s v="ORD-1281"/>
    <x v="196"/>
    <s v="Neha Gupta"/>
    <s v="Ahmedabad"/>
    <x v="0"/>
    <x v="5"/>
    <s v="Pen Set"/>
    <n v="4"/>
    <n v="1999"/>
    <n v="0.25"/>
    <n v="5997"/>
    <x v="1"/>
  </r>
  <r>
    <s v="ORD-1282"/>
    <x v="56"/>
    <s v="Priya Patel"/>
    <s v="Ahmedabad"/>
    <x v="0"/>
    <x v="1"/>
    <s v="Puzzle"/>
    <n v="9"/>
    <n v="24999"/>
    <n v="0.05"/>
    <n v="213741.45"/>
    <x v="2"/>
  </r>
  <r>
    <s v="ORD-1283"/>
    <x v="114"/>
    <s v="Deepak Yadav"/>
    <s v="Ahmedabad"/>
    <x v="2"/>
    <x v="6"/>
    <s v="Knife Set"/>
    <n v="2"/>
    <n v="9999"/>
    <n v="0.1"/>
    <n v="17998.2"/>
    <x v="0"/>
  </r>
  <r>
    <s v="ORD-1284"/>
    <x v="197"/>
    <s v="Ravi Mehta"/>
    <s v="Mumbai"/>
    <x v="0"/>
    <x v="0"/>
    <s v="Dictionary"/>
    <n v="10"/>
    <n v="299"/>
    <n v="0"/>
    <n v="2990"/>
    <x v="1"/>
  </r>
  <r>
    <s v="ORD-1285"/>
    <x v="123"/>
    <s v="Meena Pillai"/>
    <s v="Chennai"/>
    <x v="2"/>
    <x v="5"/>
    <s v="Pen Set"/>
    <n v="6"/>
    <n v="1999"/>
    <n v="0"/>
    <n v="11994"/>
    <x v="1"/>
  </r>
  <r>
    <s v="ORD-1286"/>
    <x v="113"/>
    <s v="Sunita Singh"/>
    <s v="Surat"/>
    <x v="0"/>
    <x v="2"/>
    <s v="Cycle"/>
    <n v="10"/>
    <n v="999"/>
    <n v="0.15"/>
    <n v="8491.5"/>
    <x v="1"/>
  </r>
  <r>
    <s v="ORD-1287"/>
    <x v="198"/>
    <s v="Suresh Nair"/>
    <s v="Kolkata"/>
    <x v="3"/>
    <x v="1"/>
    <s v="Puzzle"/>
    <n v="9"/>
    <n v="2999"/>
    <n v="0.1"/>
    <n v="24291.9"/>
    <x v="4"/>
  </r>
  <r>
    <s v="ORD-1288"/>
    <x v="199"/>
    <s v="Vikram Reddy"/>
    <s v="Surat"/>
    <x v="0"/>
    <x v="5"/>
    <s v="Notebook"/>
    <n v="8"/>
    <n v="2499"/>
    <n v="0.05"/>
    <n v="18992.400000000001"/>
    <x v="4"/>
  </r>
  <r>
    <s v="ORD-1289"/>
    <x v="121"/>
    <s v="Rekha Desai"/>
    <s v="Mumbai"/>
    <x v="0"/>
    <x v="2"/>
    <s v="Cycle"/>
    <n v="3"/>
    <n v="199"/>
    <n v="0.1"/>
    <n v="537.29999999999995"/>
    <x v="3"/>
  </r>
  <r>
    <s v="ORD-1290"/>
    <x v="200"/>
    <s v="Rohit Malhotra"/>
    <s v="Pune"/>
    <x v="0"/>
    <x v="0"/>
    <s v="Textbook"/>
    <n v="4"/>
    <n v="2499"/>
    <n v="0.05"/>
    <n v="9496.2000000000007"/>
    <x v="2"/>
  </r>
  <r>
    <s v="ORD-1291"/>
    <x v="201"/>
    <s v="Anjali Joshi"/>
    <s v="Surat"/>
    <x v="0"/>
    <x v="6"/>
    <s v="Kadai"/>
    <n v="8"/>
    <n v="14999"/>
    <n v="0.15"/>
    <n v="101993.2"/>
    <x v="1"/>
  </r>
  <r>
    <s v="ORD-1292"/>
    <x v="61"/>
    <s v="Neha Gupta"/>
    <s v="Bangalore"/>
    <x v="2"/>
    <x v="5"/>
    <s v="Pen Set"/>
    <n v="9"/>
    <n v="299"/>
    <n v="0.2"/>
    <n v="2152.8000000000002"/>
    <x v="0"/>
  </r>
  <r>
    <s v="ORD-1293"/>
    <x v="69"/>
    <s v="Priya Patel"/>
    <s v="Mumbai"/>
    <x v="0"/>
    <x v="1"/>
    <s v="Doll"/>
    <n v="4"/>
    <n v="399"/>
    <n v="0.25"/>
    <n v="1197"/>
    <x v="1"/>
  </r>
  <r>
    <s v="ORD-1294"/>
    <x v="36"/>
    <s v="Ravi Mehta"/>
    <s v="Ahmedabad"/>
    <x v="0"/>
    <x v="5"/>
    <s v="Stapler"/>
    <n v="1"/>
    <n v="14999"/>
    <n v="0.25"/>
    <n v="11249.25"/>
    <x v="2"/>
  </r>
  <r>
    <s v="ORD-1295"/>
    <x v="117"/>
    <s v="Rahul Sharma"/>
    <s v="Ahmedabad"/>
    <x v="0"/>
    <x v="1"/>
    <s v="Lego Set"/>
    <n v="1"/>
    <n v="24999"/>
    <n v="0.25"/>
    <n v="18749.25"/>
    <x v="4"/>
  </r>
  <r>
    <s v="ORD-1296"/>
    <x v="197"/>
    <s v="Kavita Shah"/>
    <s v="Mumbai"/>
    <x v="0"/>
    <x v="1"/>
    <s v="Doll"/>
    <n v="2"/>
    <n v="499"/>
    <n v="0.2"/>
    <n v="798.4"/>
    <x v="1"/>
  </r>
  <r>
    <s v="ORD-1297"/>
    <x v="202"/>
    <s v="Ravi Mehta"/>
    <s v="Jaipur"/>
    <x v="1"/>
    <x v="0"/>
    <s v="Comic"/>
    <n v="5"/>
    <n v="3999"/>
    <n v="0"/>
    <n v="19995"/>
    <x v="4"/>
  </r>
  <r>
    <s v="ORD-1298"/>
    <x v="130"/>
    <s v="Arun Kapoor"/>
    <s v="Jaipur"/>
    <x v="1"/>
    <x v="2"/>
    <s v="Cycle"/>
    <n v="4"/>
    <n v="1999"/>
    <n v="0.25"/>
    <n v="5997"/>
    <x v="0"/>
  </r>
  <r>
    <s v="ORD-1299"/>
    <x v="203"/>
    <s v="Priya Patel"/>
    <s v="Delhi"/>
    <x v="1"/>
    <x v="1"/>
    <s v="Puzzle"/>
    <n v="7"/>
    <n v="49999"/>
    <n v="0.15"/>
    <n v="297494.05"/>
    <x v="0"/>
  </r>
  <r>
    <s v="ORD-1300"/>
    <x v="104"/>
    <s v="Rahul Sharma"/>
    <s v="Bangalore"/>
    <x v="2"/>
    <x v="4"/>
    <s v="Kurta"/>
    <n v="7"/>
    <n v="2499"/>
    <n v="0.2"/>
    <n v="13994.4"/>
    <x v="0"/>
  </r>
  <r>
    <s v="ORD-1301"/>
    <x v="19"/>
    <s v="Priya Patel"/>
    <s v="Chennai"/>
    <x v="2"/>
    <x v="2"/>
    <s v="Cycle"/>
    <n v="10"/>
    <n v="14999"/>
    <n v="0.1"/>
    <n v="134991"/>
    <x v="0"/>
  </r>
  <r>
    <s v="ORD-1302"/>
    <x v="69"/>
    <s v="Deepak Yadav"/>
    <s v="Ahmedabad"/>
    <x v="0"/>
    <x v="7"/>
    <s v="Mobile Phone"/>
    <n v="6"/>
    <n v="199"/>
    <n v="0.05"/>
    <n v="1134.3"/>
    <x v="3"/>
  </r>
  <r>
    <s v="ORD-1303"/>
    <x v="11"/>
    <s v="Manoj Tiwari"/>
    <s v="Delhi"/>
    <x v="1"/>
    <x v="0"/>
    <s v="Textbook"/>
    <n v="10"/>
    <n v="1299"/>
    <n v="0.2"/>
    <n v="10392"/>
    <x v="2"/>
  </r>
  <r>
    <s v="ORD-1304"/>
    <x v="1"/>
    <s v="Meena Pillai"/>
    <s v="Hyderabad"/>
    <x v="2"/>
    <x v="1"/>
    <s v="Action Figure"/>
    <n v="3"/>
    <n v="399"/>
    <n v="0.2"/>
    <n v="957.6"/>
    <x v="4"/>
  </r>
  <r>
    <s v="ORD-1305"/>
    <x v="204"/>
    <s v="Sunita Singh"/>
    <s v="Pune"/>
    <x v="0"/>
    <x v="2"/>
    <s v="Cricket Bat"/>
    <n v="6"/>
    <n v="3999"/>
    <n v="0.1"/>
    <n v="21594.6"/>
    <x v="0"/>
  </r>
  <r>
    <s v="ORD-1306"/>
    <x v="205"/>
    <s v="Deepak Yadav"/>
    <s v="Surat"/>
    <x v="0"/>
    <x v="5"/>
    <s v="Pen Set"/>
    <n v="6"/>
    <n v="49999"/>
    <n v="0.15"/>
    <n v="254994.9"/>
    <x v="2"/>
  </r>
  <r>
    <s v="ORD-1307"/>
    <x v="206"/>
    <s v="Rohit Malhotra"/>
    <s v="Pune"/>
    <x v="0"/>
    <x v="4"/>
    <s v="Jacket"/>
    <n v="5"/>
    <n v="1299"/>
    <n v="0.25"/>
    <n v="4871.25"/>
    <x v="0"/>
  </r>
  <r>
    <s v="ORD-1308"/>
    <x v="207"/>
    <s v="Deepak Yadav"/>
    <s v="Bangalore"/>
    <x v="2"/>
    <x v="1"/>
    <s v="Action Figure"/>
    <n v="3"/>
    <n v="3999"/>
    <n v="0.1"/>
    <n v="10797.3"/>
    <x v="4"/>
  </r>
  <r>
    <s v="ORD-1309"/>
    <x v="131"/>
    <s v="Amit Verma"/>
    <s v="Mumbai"/>
    <x v="0"/>
    <x v="0"/>
    <s v="Dictionary"/>
    <n v="6"/>
    <n v="1499"/>
    <n v="0"/>
    <n v="8994"/>
    <x v="1"/>
  </r>
  <r>
    <s v="ORD-1310"/>
    <x v="73"/>
    <s v="Neha Gupta"/>
    <s v="Pune"/>
    <x v="0"/>
    <x v="5"/>
    <s v="Folder"/>
    <n v="9"/>
    <n v="24999"/>
    <n v="0.15"/>
    <n v="191242.35"/>
    <x v="0"/>
  </r>
  <r>
    <s v="ORD-1311"/>
    <x v="146"/>
    <s v="Amit Verma"/>
    <s v="Hyderabad"/>
    <x v="2"/>
    <x v="4"/>
    <s v="Jacket"/>
    <n v="10"/>
    <n v="2499"/>
    <n v="0.15"/>
    <n v="21241.5"/>
    <x v="0"/>
  </r>
  <r>
    <s v="ORD-1312"/>
    <x v="208"/>
    <s v="Rekha Desai"/>
    <s v="Pune"/>
    <x v="0"/>
    <x v="4"/>
    <s v="Shoes"/>
    <n v="9"/>
    <n v="1299"/>
    <n v="0.2"/>
    <n v="9352.7999999999993"/>
    <x v="3"/>
  </r>
  <r>
    <s v="ORD-1313"/>
    <x v="209"/>
    <s v="Manoj Tiwari"/>
    <s v="Bangalore"/>
    <x v="2"/>
    <x v="3"/>
    <s v="Sofa"/>
    <n v="5"/>
    <n v="1499"/>
    <n v="0.15"/>
    <n v="6370.75"/>
    <x v="1"/>
  </r>
  <r>
    <s v="ORD-1314"/>
    <x v="210"/>
    <s v="Neha Gupta"/>
    <s v="Pune"/>
    <x v="0"/>
    <x v="0"/>
    <s v="Dictionary"/>
    <n v="5"/>
    <n v="14999"/>
    <n v="0"/>
    <n v="74995"/>
    <x v="4"/>
  </r>
  <r>
    <s v="ORD-1315"/>
    <x v="211"/>
    <s v="Anjali Joshi"/>
    <s v="Surat"/>
    <x v="0"/>
    <x v="2"/>
    <s v="Yoga Mat"/>
    <n v="2"/>
    <n v="599"/>
    <n v="0.1"/>
    <n v="1078.2"/>
    <x v="0"/>
  </r>
  <r>
    <s v="ORD-1316"/>
    <x v="33"/>
    <s v="Suresh Nair"/>
    <s v="Jaipur"/>
    <x v="1"/>
    <x v="1"/>
    <s v="Remote Car"/>
    <n v="8"/>
    <n v="2499"/>
    <n v="0.15"/>
    <n v="16993.2"/>
    <x v="3"/>
  </r>
  <r>
    <s v="ORD-1317"/>
    <x v="64"/>
    <s v="Kavita Shah"/>
    <s v="Hyderabad"/>
    <x v="2"/>
    <x v="2"/>
    <s v="Yoga Mat"/>
    <n v="6"/>
    <n v="799"/>
    <n v="0.15"/>
    <n v="4074.9"/>
    <x v="4"/>
  </r>
  <r>
    <s v="ORD-1318"/>
    <x v="208"/>
    <s v="Sneha Bhatt"/>
    <s v="Jaipur"/>
    <x v="1"/>
    <x v="2"/>
    <s v="Badminton Set"/>
    <n v="7"/>
    <n v="1499"/>
    <n v="0.15"/>
    <n v="8919.0499999999993"/>
    <x v="4"/>
  </r>
  <r>
    <s v="ORD-1319"/>
    <x v="109"/>
    <s v="Rohit Malhotra"/>
    <s v="Chennai"/>
    <x v="2"/>
    <x v="3"/>
    <s v="Cabinet"/>
    <n v="9"/>
    <n v="199"/>
    <n v="0.25"/>
    <n v="1343.25"/>
    <x v="2"/>
  </r>
  <r>
    <s v="ORD-1320"/>
    <x v="46"/>
    <s v="Ravi Mehta"/>
    <s v="Surat"/>
    <x v="0"/>
    <x v="0"/>
    <s v="Self-Help"/>
    <n v="2"/>
    <n v="4999"/>
    <n v="0.25"/>
    <n v="7498.5"/>
    <x v="2"/>
  </r>
  <r>
    <s v="ORD-1321"/>
    <x v="25"/>
    <s v="Kavita Shah"/>
    <s v="Chennai"/>
    <x v="2"/>
    <x v="0"/>
    <s v="Self-Help"/>
    <n v="3"/>
    <n v="4999"/>
    <n v="0.15"/>
    <n v="12747.45"/>
    <x v="0"/>
  </r>
  <r>
    <s v="ORD-1322"/>
    <x v="134"/>
    <s v="Divya Pandey"/>
    <s v="Surat"/>
    <x v="0"/>
    <x v="1"/>
    <s v="Board Game"/>
    <n v="9"/>
    <n v="4999"/>
    <n v="0.2"/>
    <n v="35992.800000000003"/>
    <x v="0"/>
  </r>
  <r>
    <s v="ORD-1323"/>
    <x v="199"/>
    <s v="Meena Pillai"/>
    <s v="Jaipur"/>
    <x v="1"/>
    <x v="4"/>
    <s v="T-Shirt"/>
    <n v="4"/>
    <n v="2999"/>
    <n v="0.05"/>
    <n v="11396.2"/>
    <x v="3"/>
  </r>
  <r>
    <s v="ORD-1324"/>
    <x v="212"/>
    <s v="Rohit Malhotra"/>
    <s v="Pune"/>
    <x v="0"/>
    <x v="6"/>
    <s v="Plate Set"/>
    <n v="2"/>
    <n v="199"/>
    <n v="0"/>
    <n v="398"/>
    <x v="4"/>
  </r>
  <r>
    <s v="ORD-1325"/>
    <x v="110"/>
    <s v="Vikram Reddy"/>
    <s v="Ahmedabad"/>
    <x v="0"/>
    <x v="2"/>
    <s v="Yoga Mat"/>
    <n v="6"/>
    <n v="3999"/>
    <n v="0.15"/>
    <n v="20394.900000000001"/>
    <x v="3"/>
  </r>
  <r>
    <s v="ORD-1326"/>
    <x v="213"/>
    <s v="Vikram Reddy"/>
    <s v="Bangalore"/>
    <x v="2"/>
    <x v="6"/>
    <s v="Mixer"/>
    <n v="8"/>
    <n v="499"/>
    <n v="0.1"/>
    <n v="3592.8"/>
    <x v="2"/>
  </r>
  <r>
    <s v="ORD-1327"/>
    <x v="122"/>
    <s v="Sunita Singh"/>
    <s v="Bangalore"/>
    <x v="2"/>
    <x v="6"/>
    <s v="Kadai"/>
    <n v="6"/>
    <n v="9999"/>
    <n v="0.05"/>
    <n v="56994.3"/>
    <x v="3"/>
  </r>
  <r>
    <s v="ORD-1328"/>
    <x v="77"/>
    <s v="Pooja Iyer"/>
    <s v="Surat"/>
    <x v="0"/>
    <x v="4"/>
    <s v="Kurta"/>
    <n v="8"/>
    <n v="2499"/>
    <n v="0"/>
    <n v="19992"/>
    <x v="4"/>
  </r>
  <r>
    <s v="ORD-1329"/>
    <x v="212"/>
    <s v="Sunita Singh"/>
    <s v="Mumbai"/>
    <x v="0"/>
    <x v="6"/>
    <s v="Knife Set"/>
    <n v="2"/>
    <n v="799"/>
    <n v="0.25"/>
    <n v="1198.5"/>
    <x v="1"/>
  </r>
  <r>
    <s v="ORD-1330"/>
    <x v="214"/>
    <s v="Neha Gupta"/>
    <s v="Ahmedabad"/>
    <x v="0"/>
    <x v="3"/>
    <s v="Sofa"/>
    <n v="9"/>
    <n v="4999"/>
    <n v="0.15"/>
    <n v="38242.35"/>
    <x v="1"/>
  </r>
  <r>
    <s v="ORD-1331"/>
    <x v="130"/>
    <s v="Neha Gupta"/>
    <s v="Bangalore"/>
    <x v="2"/>
    <x v="1"/>
    <s v="Puzzle"/>
    <n v="1"/>
    <n v="999"/>
    <n v="0.15"/>
    <n v="849.15"/>
    <x v="3"/>
  </r>
  <r>
    <s v="ORD-1332"/>
    <x v="12"/>
    <s v="Manoj Tiwari"/>
    <s v="Mumbai"/>
    <x v="0"/>
    <x v="2"/>
    <s v="Football"/>
    <n v="5"/>
    <n v="399"/>
    <n v="0.2"/>
    <n v="1596"/>
    <x v="0"/>
  </r>
  <r>
    <s v="ORD-1333"/>
    <x v="197"/>
    <s v="Neha Gupta"/>
    <s v="Hyderabad"/>
    <x v="2"/>
    <x v="6"/>
    <s v="Pressure Cooker"/>
    <n v="8"/>
    <n v="499"/>
    <n v="0.1"/>
    <n v="3592.8"/>
    <x v="2"/>
  </r>
  <r>
    <s v="ORD-1334"/>
    <x v="19"/>
    <s v="Suresh Nair"/>
    <s v="Jaipur"/>
    <x v="1"/>
    <x v="1"/>
    <s v="Board Game"/>
    <n v="7"/>
    <n v="499"/>
    <n v="0.1"/>
    <n v="3143.7"/>
    <x v="4"/>
  </r>
  <r>
    <s v="ORD-1335"/>
    <x v="185"/>
    <s v="Divya Pandey"/>
    <s v="Bangalore"/>
    <x v="2"/>
    <x v="0"/>
    <s v="Cookbook"/>
    <n v="10"/>
    <n v="399"/>
    <n v="0.25"/>
    <n v="2992.5"/>
    <x v="1"/>
  </r>
  <r>
    <s v="ORD-1336"/>
    <x v="121"/>
    <s v="Sunita Singh"/>
    <s v="Chennai"/>
    <x v="2"/>
    <x v="0"/>
    <s v="Novel"/>
    <n v="3"/>
    <n v="2999"/>
    <n v="0.25"/>
    <n v="6747.75"/>
    <x v="1"/>
  </r>
  <r>
    <s v="ORD-1337"/>
    <x v="51"/>
    <s v="Manoj Tiwari"/>
    <s v="Pune"/>
    <x v="0"/>
    <x v="3"/>
    <s v="Shelf"/>
    <n v="7"/>
    <n v="4999"/>
    <n v="0.05"/>
    <n v="33243.35"/>
    <x v="2"/>
  </r>
  <r>
    <s v="ORD-1338"/>
    <x v="215"/>
    <s v="Meena Pillai"/>
    <s v="Bangalore"/>
    <x v="2"/>
    <x v="3"/>
    <s v="Bed Frame"/>
    <n v="5"/>
    <n v="599"/>
    <n v="0.05"/>
    <n v="2845.25"/>
    <x v="4"/>
  </r>
  <r>
    <s v="ORD-1339"/>
    <x v="138"/>
    <s v="Divya Pandey"/>
    <s v="Mumbai"/>
    <x v="0"/>
    <x v="6"/>
    <s v="Mixer"/>
    <n v="8"/>
    <n v="599"/>
    <n v="0.05"/>
    <n v="4552.3999999999996"/>
    <x v="2"/>
  </r>
  <r>
    <s v="ORD-1340"/>
    <x v="39"/>
    <s v="Vikram Reddy"/>
    <s v="Surat"/>
    <x v="0"/>
    <x v="1"/>
    <s v="Action Figure"/>
    <n v="8"/>
    <n v="4999"/>
    <n v="0.25"/>
    <n v="29994"/>
    <x v="2"/>
  </r>
  <r>
    <s v="ORD-1341"/>
    <x v="71"/>
    <s v="Neha Gupta"/>
    <s v="Delhi"/>
    <x v="1"/>
    <x v="7"/>
    <s v="Mobile Phone"/>
    <n v="5"/>
    <n v="299"/>
    <n v="0.1"/>
    <n v="1345.5"/>
    <x v="1"/>
  </r>
  <r>
    <s v="ORD-1342"/>
    <x v="97"/>
    <s v="Kavita Shah"/>
    <s v="Bangalore"/>
    <x v="2"/>
    <x v="5"/>
    <s v="Folder"/>
    <n v="8"/>
    <n v="49999"/>
    <n v="0.2"/>
    <n v="319993.59999999998"/>
    <x v="0"/>
  </r>
  <r>
    <s v="ORD-1343"/>
    <x v="125"/>
    <s v="Sunita Singh"/>
    <s v="Kolkata"/>
    <x v="3"/>
    <x v="6"/>
    <s v="Glass Set"/>
    <n v="1"/>
    <n v="9999"/>
    <n v="0.2"/>
    <n v="7999.2"/>
    <x v="1"/>
  </r>
  <r>
    <s v="ORD-1344"/>
    <x v="216"/>
    <s v="Sunita Singh"/>
    <s v="Chennai"/>
    <x v="2"/>
    <x v="0"/>
    <s v="Novel"/>
    <n v="8"/>
    <n v="1499"/>
    <n v="0.1"/>
    <n v="10792.8"/>
    <x v="0"/>
  </r>
  <r>
    <s v="ORD-1345"/>
    <x v="20"/>
    <s v="Sunita Singh"/>
    <s v="Chennai"/>
    <x v="2"/>
    <x v="2"/>
    <s v="Cycle"/>
    <n v="10"/>
    <n v="2999"/>
    <n v="0.25"/>
    <n v="22492.5"/>
    <x v="3"/>
  </r>
  <r>
    <s v="ORD-1346"/>
    <x v="217"/>
    <s v="Rekha Desai"/>
    <s v="Bangalore"/>
    <x v="2"/>
    <x v="3"/>
    <s v="Table"/>
    <n v="4"/>
    <n v="299"/>
    <n v="0.2"/>
    <n v="956.8"/>
    <x v="4"/>
  </r>
  <r>
    <s v="ORD-1347"/>
    <x v="218"/>
    <s v="Deepak Yadav"/>
    <s v="Jaipur"/>
    <x v="1"/>
    <x v="3"/>
    <s v="Sofa"/>
    <n v="5"/>
    <n v="1999"/>
    <n v="0.2"/>
    <n v="7996"/>
    <x v="4"/>
  </r>
  <r>
    <s v="ORD-1348"/>
    <x v="167"/>
    <s v="Sunita Singh"/>
    <s v="Bangalore"/>
    <x v="2"/>
    <x v="1"/>
    <s v="Lego Set"/>
    <n v="5"/>
    <n v="599"/>
    <n v="0.25"/>
    <n v="2246.25"/>
    <x v="1"/>
  </r>
  <r>
    <s v="ORD-1349"/>
    <x v="219"/>
    <s v="Vijay Kumar"/>
    <s v="Hyderabad"/>
    <x v="2"/>
    <x v="2"/>
    <s v="Cycle"/>
    <n v="7"/>
    <n v="14999"/>
    <n v="0.05"/>
    <n v="99743.35"/>
    <x v="3"/>
  </r>
  <r>
    <s v="ORD-1350"/>
    <x v="217"/>
    <s v="Deepak Yadav"/>
    <s v="Pune"/>
    <x v="0"/>
    <x v="1"/>
    <s v="Puzzle"/>
    <n v="2"/>
    <n v="399"/>
    <n v="0.15"/>
    <n v="678.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E86A53-0A57-0040-8265-783D26AF519B}" name="PivotTable2" cacheId="22"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8">
  <location ref="A15:B24" firstHeaderRow="1" firstDataRow="1" firstDataCol="1"/>
  <pivotFields count="13">
    <pivotField compact="0" outline="0" showAll="0"/>
    <pivotField compact="0" numFmtId="1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pivotField compact="0" outline="0" showAll="0"/>
    <pivotField compact="0" outline="0" showAll="0">
      <items count="5">
        <item x="3"/>
        <item x="1"/>
        <item x="2"/>
        <item x="0"/>
        <item t="default"/>
      </items>
    </pivotField>
    <pivotField axis="axisRow" compact="0" outline="0" showAll="0">
      <items count="9">
        <item x="0"/>
        <item x="4"/>
        <item x="7"/>
        <item x="3"/>
        <item x="6"/>
        <item x="2"/>
        <item x="5"/>
        <item x="1"/>
        <item t="default"/>
      </items>
    </pivotField>
    <pivotField compact="0" outline="0" showAll="0"/>
    <pivotField compact="0" numFmtId="1" outline="0" showAll="0"/>
    <pivotField compact="0" numFmtId="1" outline="0" showAll="0"/>
    <pivotField compact="0" numFmtId="10" outline="0" showAll="0"/>
    <pivotField dataField="1" compact="0" numFmtId="2" outline="0" showAll="0"/>
    <pivotField compact="0" outline="0" showAll="0"/>
    <pivotField compact="0" outline="0" showAll="0">
      <items count="15">
        <item x="0"/>
        <item x="1"/>
        <item x="2"/>
        <item x="3"/>
        <item x="4"/>
        <item x="5"/>
        <item x="6"/>
        <item x="7"/>
        <item x="8"/>
        <item x="9"/>
        <item x="10"/>
        <item x="11"/>
        <item x="12"/>
        <item x="13"/>
        <item t="default"/>
      </items>
    </pivotField>
  </pivotFields>
  <rowFields count="1">
    <field x="5"/>
  </rowFields>
  <rowItems count="9">
    <i>
      <x/>
    </i>
    <i>
      <x v="1"/>
    </i>
    <i>
      <x v="2"/>
    </i>
    <i>
      <x v="3"/>
    </i>
    <i>
      <x v="4"/>
    </i>
    <i>
      <x v="5"/>
    </i>
    <i>
      <x v="6"/>
    </i>
    <i>
      <x v="7"/>
    </i>
    <i t="grand">
      <x/>
    </i>
  </rowItems>
  <colItems count="1">
    <i/>
  </colItems>
  <dataFields count="1">
    <dataField name="Sum of Total Amount (₹)" fld="10"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4"/>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BC5262-6A32-5949-B85A-7A6C085194B5}" name="PivotTable1" cacheId="22"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8">
  <location ref="A3:B8" firstHeaderRow="1" firstDataRow="1" firstDataCol="1"/>
  <pivotFields count="13">
    <pivotField compact="0" outline="0" showAll="0"/>
    <pivotField compact="0" numFmtId="1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pivotField compact="0" outline="0" showAll="0"/>
    <pivotField axis="axisRow" compact="0" outline="0" showAll="0">
      <items count="5">
        <item x="3"/>
        <item x="1"/>
        <item x="2"/>
        <item x="0"/>
        <item t="default"/>
      </items>
    </pivotField>
    <pivotField compact="0" outline="0" showAll="0">
      <items count="9">
        <item x="0"/>
        <item x="4"/>
        <item x="7"/>
        <item x="3"/>
        <item x="6"/>
        <item x="2"/>
        <item x="5"/>
        <item x="1"/>
        <item t="default"/>
      </items>
    </pivotField>
    <pivotField compact="0" outline="0" showAll="0"/>
    <pivotField compact="0" numFmtId="1" outline="0" showAll="0"/>
    <pivotField compact="0" numFmtId="1" outline="0" showAll="0"/>
    <pivotField compact="0" numFmtId="10" outline="0" showAll="0"/>
    <pivotField dataField="1" compact="0" numFmtId="2" outline="0" showAll="0"/>
    <pivotField compact="0" outline="0" showAll="0"/>
    <pivotField compact="0" outline="0"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Total Amount (₹)" fld="10" baseField="0" baseItem="0"/>
  </dataFields>
  <chartFormats count="10">
    <chartFormat chart="0"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4" count="1" selected="0">
            <x v="0"/>
          </reference>
        </references>
      </pivotArea>
    </chartFormat>
    <chartFormat chart="5" format="8">
      <pivotArea type="data" outline="0" fieldPosition="0">
        <references count="2">
          <reference field="4294967294" count="1" selected="0">
            <x v="0"/>
          </reference>
          <reference field="4" count="1" selected="0">
            <x v="1"/>
          </reference>
        </references>
      </pivotArea>
    </chartFormat>
    <chartFormat chart="5" format="9">
      <pivotArea type="data" outline="0" fieldPosition="0">
        <references count="2">
          <reference field="4294967294" count="1" selected="0">
            <x v="0"/>
          </reference>
          <reference field="4" count="1" selected="0">
            <x v="2"/>
          </reference>
        </references>
      </pivotArea>
    </chartFormat>
    <chartFormat chart="5" format="10">
      <pivotArea type="data" outline="0" fieldPosition="0">
        <references count="2">
          <reference field="4294967294" count="1" selected="0">
            <x v="0"/>
          </reference>
          <reference field="4" count="1" selected="0">
            <x v="3"/>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277239-4057-1043-9DE0-376B64298849}" name="PivotTable4" cacheId="22"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6">
  <location ref="A50:B56" firstHeaderRow="1" firstDataRow="1" firstDataCol="1"/>
  <pivotFields count="13">
    <pivotField dataField="1" compact="0" outline="0" showAll="0"/>
    <pivotField compact="0" numFmtId="1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pivotField compact="0" outline="0" showAll="0"/>
    <pivotField compact="0" outline="0" showAll="0">
      <items count="5">
        <item x="3"/>
        <item x="1"/>
        <item x="2"/>
        <item x="0"/>
        <item t="default"/>
      </items>
    </pivotField>
    <pivotField compact="0" outline="0" showAll="0">
      <items count="9">
        <item x="0"/>
        <item x="4"/>
        <item x="7"/>
        <item x="3"/>
        <item x="6"/>
        <item x="2"/>
        <item x="5"/>
        <item x="1"/>
        <item t="default"/>
      </items>
    </pivotField>
    <pivotField compact="0" outline="0" showAll="0"/>
    <pivotField compact="0" numFmtId="1" outline="0" showAll="0"/>
    <pivotField compact="0" numFmtId="1" outline="0" showAll="0"/>
    <pivotField compact="0" numFmtId="10" outline="0" showAll="0"/>
    <pivotField compact="0" numFmtId="2" outline="0" showAll="0"/>
    <pivotField axis="axisRow" compact="0" outline="0" showAll="0">
      <items count="6">
        <item x="0"/>
        <item x="1"/>
        <item x="4"/>
        <item x="3"/>
        <item x="2"/>
        <item t="default"/>
      </items>
    </pivotField>
    <pivotField compact="0" outline="0" showAll="0" defaultSubtotal="0"/>
  </pivotFields>
  <rowFields count="1">
    <field x="11"/>
  </rowFields>
  <rowItems count="6">
    <i>
      <x/>
    </i>
    <i>
      <x v="1"/>
    </i>
    <i>
      <x v="2"/>
    </i>
    <i>
      <x v="3"/>
    </i>
    <i>
      <x v="4"/>
    </i>
    <i t="grand">
      <x/>
    </i>
  </rowItems>
  <colItems count="1">
    <i/>
  </colItems>
  <dataFields count="1">
    <dataField name="Count of Order ID" fld="0" subtotal="count" baseField="0" baseItem="0"/>
  </dataFields>
  <chartFormats count="12">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1" count="1" selected="0">
            <x v="0"/>
          </reference>
        </references>
      </pivotArea>
    </chartFormat>
    <chartFormat chart="3" format="9">
      <pivotArea type="data" outline="0" fieldPosition="0">
        <references count="2">
          <reference field="4294967294" count="1" selected="0">
            <x v="0"/>
          </reference>
          <reference field="11" count="1" selected="0">
            <x v="1"/>
          </reference>
        </references>
      </pivotArea>
    </chartFormat>
    <chartFormat chart="3" format="10">
      <pivotArea type="data" outline="0" fieldPosition="0">
        <references count="2">
          <reference field="4294967294" count="1" selected="0">
            <x v="0"/>
          </reference>
          <reference field="11" count="1" selected="0">
            <x v="2"/>
          </reference>
        </references>
      </pivotArea>
    </chartFormat>
    <chartFormat chart="3" format="11">
      <pivotArea type="data" outline="0" fieldPosition="0">
        <references count="2">
          <reference field="4294967294" count="1" selected="0">
            <x v="0"/>
          </reference>
          <reference field="11" count="1" selected="0">
            <x v="3"/>
          </reference>
        </references>
      </pivotArea>
    </chartFormat>
    <chartFormat chart="3" format="12">
      <pivotArea type="data" outline="0" fieldPosition="0">
        <references count="2">
          <reference field="4294967294" count="1" selected="0">
            <x v="0"/>
          </reference>
          <reference field="11" count="1" selected="0">
            <x v="4"/>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0" format="4">
      <pivotArea type="data" outline="0" fieldPosition="0">
        <references count="2">
          <reference field="4294967294" count="1" selected="0">
            <x v="0"/>
          </reference>
          <reference field="11" count="1" selected="0">
            <x v="3"/>
          </reference>
        </references>
      </pivotArea>
    </chartFormat>
    <chartFormat chart="0" format="5">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9E8925-27CA-E841-8F24-20E41832584B}" name="PivotTable3" cacheId="22"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8">
  <location ref="A32:C45" firstHeaderRow="1" firstDataRow="1" firstDataCol="2"/>
  <pivotFields count="13">
    <pivotField compact="0" outline="0" showAll="0"/>
    <pivotField axis="axisRow" compact="0" numFmtId="1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pivotField compact="0" outline="0" showAll="0"/>
    <pivotField compact="0" outline="0" showAll="0">
      <items count="5">
        <item x="3"/>
        <item x="1"/>
        <item x="2"/>
        <item x="0"/>
        <item t="default"/>
      </items>
    </pivotField>
    <pivotField compact="0" outline="0" showAll="0">
      <items count="9">
        <item x="0"/>
        <item x="4"/>
        <item x="7"/>
        <item x="3"/>
        <item x="6"/>
        <item x="2"/>
        <item x="5"/>
        <item x="1"/>
        <item t="default"/>
      </items>
    </pivotField>
    <pivotField compact="0" outline="0" showAll="0"/>
    <pivotField compact="0" numFmtId="1" outline="0" showAll="0"/>
    <pivotField compact="0" numFmtId="1" outline="0" showAll="0"/>
    <pivotField compact="0" numFmtId="10" outline="0" showAll="0"/>
    <pivotField dataField="1" compact="0" numFmtId="2" outline="0" showAll="0"/>
    <pivotField compact="0" outline="0" showAll="0"/>
    <pivotField axis="axisRow" compact="0" outline="0" showAll="0">
      <items count="15">
        <item sd="0" x="0"/>
        <item sd="0" x="1"/>
        <item sd="0" x="2"/>
        <item sd="0" x="3"/>
        <item sd="0" x="4"/>
        <item sd="0" x="5"/>
        <item sd="0" x="6"/>
        <item sd="0" x="7"/>
        <item sd="0" x="8"/>
        <item sd="0" x="9"/>
        <item sd="0" x="10"/>
        <item sd="0" x="11"/>
        <item sd="0" x="12"/>
        <item sd="0" x="13"/>
        <item t="default"/>
      </items>
    </pivotField>
  </pivotFields>
  <rowFields count="2">
    <field x="12"/>
    <field x="1"/>
  </rowFields>
  <rowItems count="13">
    <i>
      <x v="1"/>
    </i>
    <i>
      <x v="2"/>
    </i>
    <i>
      <x v="3"/>
    </i>
    <i>
      <x v="4"/>
    </i>
    <i>
      <x v="5"/>
    </i>
    <i>
      <x v="6"/>
    </i>
    <i>
      <x v="7"/>
    </i>
    <i>
      <x v="8"/>
    </i>
    <i>
      <x v="9"/>
    </i>
    <i>
      <x v="10"/>
    </i>
    <i>
      <x v="11"/>
    </i>
    <i>
      <x v="12"/>
    </i>
    <i t="grand">
      <x/>
    </i>
  </rowItems>
  <colItems count="1">
    <i/>
  </colItems>
  <dataFields count="1">
    <dataField name="Sum of Total Amount (₹)" fld="10"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A845855-67CA-8943-B064-C14BC1B6D648}" sourceName="Region">
  <pivotTables>
    <pivotTable tabId="9" name="PivotTable1"/>
    <pivotTable tabId="9" name="PivotTable2"/>
    <pivotTable tabId="9" name="PivotTable3"/>
    <pivotTable tabId="9" name="PivotTable4"/>
  </pivotTables>
  <data>
    <tabular pivotCacheId="1569277212">
      <items count="4">
        <i x="3" s="1"/>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B540BFA-742F-314C-9DE7-668209801E11}" sourceName="Category">
  <pivotTables>
    <pivotTable tabId="9" name="PivotTable2"/>
    <pivotTable tabId="9" name="PivotTable1"/>
    <pivotTable tabId="9" name="PivotTable3"/>
    <pivotTable tabId="9" name="PivotTable4"/>
  </pivotTables>
  <data>
    <tabular pivotCacheId="1569277212">
      <items count="8">
        <i x="0" s="1"/>
        <i x="4" s="1"/>
        <i x="7" s="1"/>
        <i x="3" s="1"/>
        <i x="6" s="1"/>
        <i x="2"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1FAC2EB3-4151-C840-B672-17F5E510D647}" cache="Slicer_Region" caption="Region" rowHeight="457200"/>
  <slicer name="Category 1" xr10:uid="{DF608A0E-B3E5-6A43-8D41-A0865410DC16}" cache="Slicer_Category" caption="Category" rowHeight="4572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CE891C5-D531-E341-95C4-AFF760885805}" cache="Slicer_Region" caption="Region" rowHeight="230716"/>
  <slicer name="Category" xr10:uid="{5639AC2D-A4F1-0146-A926-A50039B425DE}" cache="Slicer_Category" caption="Category"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07FCC2-4202-4A43-8B22-E9FB29DF80A8}" name="SalesTable" displayName="SalesTable" ref="A1:L351" totalsRowShown="0" headerRowDxfId="13" dataDxfId="12">
  <autoFilter ref="A1:L351" xr:uid="{E307FCC2-4202-4A43-8B22-E9FB29DF80A8}"/>
  <tableColumns count="12">
    <tableColumn id="1" xr3:uid="{C703D2C1-9CC7-5D46-A549-E586131771B8}" name="Order ID" dataDxfId="11"/>
    <tableColumn id="2" xr3:uid="{A17DF0FB-7422-7540-A774-6953673CA659}" name="Order Date" dataDxfId="10"/>
    <tableColumn id="3" xr3:uid="{26A6987C-2483-AF4D-AB7A-F60F5840E8E3}" name="Customer Name" dataDxfId="9"/>
    <tableColumn id="4" xr3:uid="{D8C9CD6E-DD1D-DF4A-A6BA-688AC399D8D5}" name="City" dataDxfId="8"/>
    <tableColumn id="5" xr3:uid="{F8FC5568-2B86-8A46-925E-29BFFC941487}" name="Region" dataDxfId="7"/>
    <tableColumn id="6" xr3:uid="{589C0253-7D91-F842-8173-FF87E53A1FB2}" name="Category" dataDxfId="6"/>
    <tableColumn id="7" xr3:uid="{4BD8CB9F-F2C2-4445-B1DB-7C77588B3D6A}" name="Product Name" dataDxfId="5"/>
    <tableColumn id="8" xr3:uid="{93A789A8-5EAB-6E41-B382-DF5BC5BCFB8D}" name="Quantity" dataDxfId="4"/>
    <tableColumn id="9" xr3:uid="{1FF84B8B-F98C-084C-8764-902F07C8701B}" name="Unit Price (₹)" dataDxfId="3"/>
    <tableColumn id="10" xr3:uid="{88AE6FDE-FA0F-0C4B-A312-A9F3766D0054}" name="Discount (%)" dataDxfId="2"/>
    <tableColumn id="11" xr3:uid="{461F2E60-FB86-4B4E-B77C-66BD94123A4C}" name="Total Amount (₹)" dataDxfId="1"/>
    <tableColumn id="12" xr3:uid="{864A557F-F2EA-5146-95F1-F41261E4ABB9}" name="Payment Method" dataDxfId="0"/>
  </tableColumns>
  <tableStyleInfo name="TableStyleMedium9"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Celestial">
  <a:themeElements>
    <a:clrScheme name="Celestial">
      <a:dk1>
        <a:sysClr val="windowText" lastClr="000000"/>
      </a:dk1>
      <a:lt1>
        <a:sysClr val="window" lastClr="FFFFFF"/>
      </a:lt1>
      <a:dk2>
        <a:srgbClr val="18276C"/>
      </a:dk2>
      <a:lt2>
        <a:srgbClr val="EBEBEB"/>
      </a:lt2>
      <a:accent1>
        <a:srgbClr val="AC3EC1"/>
      </a:accent1>
      <a:accent2>
        <a:srgbClr val="477BD1"/>
      </a:accent2>
      <a:accent3>
        <a:srgbClr val="46B298"/>
      </a:accent3>
      <a:accent4>
        <a:srgbClr val="90BA4C"/>
      </a:accent4>
      <a:accent5>
        <a:srgbClr val="DD9D31"/>
      </a:accent5>
      <a:accent6>
        <a:srgbClr val="E25247"/>
      </a:accent6>
      <a:hlink>
        <a:srgbClr val="C573D2"/>
      </a:hlink>
      <a:folHlink>
        <a:srgbClr val="CCAEE8"/>
      </a:folHlink>
    </a:clrScheme>
    <a:fontScheme name="Celestial">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Celestial">
      <a:fillStyleLst>
        <a:solidFill>
          <a:schemeClr val="phClr"/>
        </a:solidFill>
        <a:gradFill rotWithShape="1">
          <a:gsLst>
            <a:gs pos="0">
              <a:schemeClr val="phClr">
                <a:tint val="70000"/>
                <a:lumMod val="110000"/>
              </a:schemeClr>
            </a:gs>
            <a:gs pos="100000">
              <a:schemeClr val="phClr">
                <a:tint val="82000"/>
                <a:alpha val="74000"/>
              </a:schemeClr>
            </a:gs>
          </a:gsLst>
          <a:lin ang="5400000" scaled="0"/>
        </a:gradFill>
        <a:gradFill rotWithShape="1">
          <a:gsLst>
            <a:gs pos="0">
              <a:schemeClr val="phClr">
                <a:tint val="98000"/>
                <a:lumMod val="100000"/>
              </a:schemeClr>
            </a:gs>
            <a:gs pos="100000">
              <a:schemeClr val="phClr">
                <a:shade val="88000"/>
                <a:lumMod val="88000"/>
              </a:schemeClr>
            </a:gs>
          </a:gsLst>
          <a:lin ang="5400000" scaled="1"/>
        </a:gradFill>
      </a:fillStyleLst>
      <a:lnStyleLst>
        <a:ln w="9525"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50800" dist="38100" dir="5400000" rotWithShape="0">
              <a:srgbClr val="000000">
                <a:alpha val="35000"/>
              </a:srgbClr>
            </a:outerShdw>
          </a:effectLst>
        </a:effectStyle>
        <a:effectStyle>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a:effectStyle>
      </a:effectStyleLst>
      <a:bgFillStyleLst>
        <a:solidFill>
          <a:schemeClr val="phClr"/>
        </a:solidFill>
        <a:gradFill rotWithShape="1">
          <a:gsLst>
            <a:gs pos="0">
              <a:schemeClr val="phClr">
                <a:tint val="90000"/>
                <a:shade val="96000"/>
                <a:hueMod val="100000"/>
                <a:satMod val="180000"/>
                <a:lumMod val="110000"/>
              </a:schemeClr>
            </a:gs>
            <a:gs pos="100000">
              <a:schemeClr val="phClr">
                <a:shade val="96000"/>
                <a:satMod val="160000"/>
                <a:lumMod val="100000"/>
              </a:schemeClr>
            </a:gs>
          </a:gsLst>
          <a:lin ang="4740000" scaled="1"/>
        </a:gradFill>
        <a:blipFill>
          <a:blip xmlns:r="http://schemas.openxmlformats.org/officeDocument/2006/relationships" r:embed="rId1"/>
          <a:stretch/>
        </a:blipFill>
      </a:bgFillStyleLst>
    </a:fmtScheme>
  </a:themeElements>
  <a:objectDefaults/>
  <a:extraClrSchemeLst/>
  <a:extLst>
    <a:ext uri="{05A4C25C-085E-4340-85A3-A5531E510DB2}">
      <thm15:themeFamily xmlns:thm15="http://schemas.microsoft.com/office/thememl/2012/main" name="Celestial" id="{C4BB2A3D-0E93-4C5F-B0D2-9D3FCE089CC5}" vid="{42E5908D-19A2-46FD-89FA-638B126129EF}"/>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4DED4AA-A019-DE4A-8CC3-AA64BC7348E3}" sourceName="Order Date">
  <pivotTables>
    <pivotTable tabId="9" name="PivotTable1"/>
    <pivotTable tabId="9" name="PivotTable2"/>
    <pivotTable tabId="9" name="PivotTable3"/>
    <pivotTable tabId="9" name="PivotTable4"/>
  </pivotTables>
  <state minimalRefreshVersion="6" lastRefreshVersion="6" pivotCacheId="1569277212"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FCC0398E-AE1C-DA43-88E3-6C60657DD63E}" cache="NativeTimeline_Order_Date" caption="Order Date" level="1" selectionLevel="1" scrollPosition="2023-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2C089A68-3990-3146-817A-6FBED0D6A4E0}" cache="NativeTimeline_Order_Date" caption="Order Date" level="1" selectionLevel="1" scrollPosition="2023-01-01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B7D1B-233A-3440-8A5E-967410EE3A98}">
  <dimension ref="A1:H8"/>
  <sheetViews>
    <sheetView workbookViewId="0">
      <selection activeCell="C4" sqref="C4"/>
    </sheetView>
  </sheetViews>
  <sheetFormatPr baseColWidth="10" defaultRowHeight="15" x14ac:dyDescent="0.2"/>
  <cols>
    <col min="1" max="1" width="14.83203125" customWidth="1"/>
    <col min="2" max="2" width="30" customWidth="1"/>
    <col min="3" max="3" width="61.1640625" style="18" customWidth="1"/>
    <col min="4" max="4" width="19.33203125" customWidth="1"/>
    <col min="5" max="5" width="14.5" customWidth="1"/>
  </cols>
  <sheetData>
    <row r="1" spans="1:8" s="20" customFormat="1" ht="16" x14ac:dyDescent="0.2">
      <c r="A1" s="21" t="s">
        <v>461</v>
      </c>
      <c r="B1" s="21" t="s">
        <v>462</v>
      </c>
      <c r="C1" s="22" t="s">
        <v>463</v>
      </c>
      <c r="D1" s="21" t="s">
        <v>464</v>
      </c>
      <c r="E1" s="21" t="s">
        <v>465</v>
      </c>
      <c r="F1" s="19"/>
      <c r="G1" s="19"/>
      <c r="H1" s="19"/>
    </row>
    <row r="2" spans="1:8" ht="16" x14ac:dyDescent="0.2">
      <c r="A2" s="15">
        <v>1</v>
      </c>
      <c r="B2" s="15" t="s">
        <v>466</v>
      </c>
      <c r="C2" s="17" t="s">
        <v>467</v>
      </c>
      <c r="D2" s="15">
        <v>15</v>
      </c>
      <c r="E2" s="16">
        <v>0.05</v>
      </c>
      <c r="F2" s="14"/>
      <c r="G2" s="14"/>
      <c r="H2" s="14"/>
    </row>
    <row r="3" spans="1:8" ht="16" x14ac:dyDescent="0.2">
      <c r="A3" s="15">
        <v>2</v>
      </c>
      <c r="B3" s="15" t="s">
        <v>468</v>
      </c>
      <c r="C3" s="17" t="s">
        <v>469</v>
      </c>
      <c r="D3" s="15">
        <v>25</v>
      </c>
      <c r="E3" s="16">
        <v>0.1</v>
      </c>
      <c r="F3" s="14"/>
      <c r="G3" s="14"/>
      <c r="H3" s="14"/>
    </row>
    <row r="4" spans="1:8" ht="16" x14ac:dyDescent="0.2">
      <c r="A4" s="15">
        <v>3</v>
      </c>
      <c r="B4" s="15" t="s">
        <v>470</v>
      </c>
      <c r="C4" s="17" t="s">
        <v>471</v>
      </c>
      <c r="D4" s="15">
        <v>30</v>
      </c>
      <c r="E4" s="16">
        <v>0.15</v>
      </c>
      <c r="F4" s="14"/>
      <c r="G4" s="14"/>
      <c r="H4" s="14"/>
    </row>
    <row r="5" spans="1:8" ht="16" x14ac:dyDescent="0.2">
      <c r="A5" s="15">
        <v>4</v>
      </c>
      <c r="B5" s="15" t="s">
        <v>472</v>
      </c>
      <c r="C5" s="17" t="s">
        <v>473</v>
      </c>
      <c r="D5" s="15">
        <v>35</v>
      </c>
      <c r="E5" s="16">
        <v>0.15</v>
      </c>
      <c r="F5" s="14"/>
      <c r="G5" s="14"/>
      <c r="H5" s="14"/>
    </row>
    <row r="6" spans="1:8" ht="16" x14ac:dyDescent="0.2">
      <c r="A6" s="15">
        <v>5</v>
      </c>
      <c r="B6" s="15" t="s">
        <v>474</v>
      </c>
      <c r="C6" s="17" t="s">
        <v>475</v>
      </c>
      <c r="D6" s="15">
        <v>40</v>
      </c>
      <c r="E6" s="16">
        <v>0.2</v>
      </c>
      <c r="F6" s="14"/>
      <c r="G6" s="14"/>
      <c r="H6" s="14"/>
    </row>
    <row r="7" spans="1:8" ht="16" x14ac:dyDescent="0.2">
      <c r="A7" s="15">
        <v>6</v>
      </c>
      <c r="B7" s="15" t="s">
        <v>476</v>
      </c>
      <c r="C7" s="17" t="s">
        <v>477</v>
      </c>
      <c r="D7" s="15">
        <v>45</v>
      </c>
      <c r="E7" s="16">
        <v>0.25</v>
      </c>
      <c r="F7" s="14"/>
      <c r="G7" s="14"/>
      <c r="H7" s="14"/>
    </row>
    <row r="8" spans="1:8" ht="16" x14ac:dyDescent="0.2">
      <c r="A8" s="15">
        <v>7</v>
      </c>
      <c r="B8" s="15" t="s">
        <v>478</v>
      </c>
      <c r="C8" s="17" t="s">
        <v>479</v>
      </c>
      <c r="D8" s="15">
        <v>20</v>
      </c>
      <c r="E8" s="16">
        <v>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51"/>
  <sheetViews>
    <sheetView zoomScale="93" zoomScaleNormal="100" workbookViewId="0">
      <pane ySplit="1" topLeftCell="A2" activePane="bottomLeft" state="frozen"/>
      <selection pane="bottomLeft" activeCell="L21" sqref="L21"/>
    </sheetView>
  </sheetViews>
  <sheetFormatPr baseColWidth="10" defaultColWidth="8.83203125" defaultRowHeight="15" x14ac:dyDescent="0.2"/>
  <cols>
    <col min="1" max="1" width="17.83203125" customWidth="1"/>
    <col min="2" max="2" width="21.5" customWidth="1"/>
    <col min="3" max="3" width="30.5" customWidth="1"/>
    <col min="4" max="4" width="21.33203125" customWidth="1"/>
    <col min="5" max="5" width="15.6640625" customWidth="1"/>
    <col min="6" max="6" width="23.1640625" customWidth="1"/>
    <col min="7" max="7" width="20.6640625" customWidth="1"/>
    <col min="8" max="8" width="16.1640625" customWidth="1"/>
    <col min="9" max="9" width="21.83203125" customWidth="1"/>
    <col min="10" max="10" width="19" customWidth="1"/>
    <col min="11" max="11" width="29.1640625" customWidth="1"/>
    <col min="12" max="12" width="26.33203125" customWidth="1"/>
  </cols>
  <sheetData>
    <row r="1" spans="1:12" s="4" customFormat="1" ht="35" customHeight="1" x14ac:dyDescent="0.25">
      <c r="A1" s="5" t="s">
        <v>0</v>
      </c>
      <c r="B1" s="6" t="s">
        <v>1</v>
      </c>
      <c r="C1" s="7" t="s">
        <v>2</v>
      </c>
      <c r="D1" s="7" t="s">
        <v>3</v>
      </c>
      <c r="E1" s="7" t="s">
        <v>4</v>
      </c>
      <c r="F1" s="7" t="s">
        <v>5</v>
      </c>
      <c r="G1" s="7" t="s">
        <v>6</v>
      </c>
      <c r="H1" s="8" t="s">
        <v>7</v>
      </c>
      <c r="I1" s="8" t="s">
        <v>8</v>
      </c>
      <c r="J1" s="13" t="s">
        <v>9</v>
      </c>
      <c r="K1" s="9" t="s">
        <v>10</v>
      </c>
      <c r="L1" s="7" t="s">
        <v>11</v>
      </c>
    </row>
    <row r="2" spans="1:12" x14ac:dyDescent="0.2">
      <c r="A2" s="1" t="s">
        <v>12</v>
      </c>
      <c r="B2" s="2">
        <v>45254</v>
      </c>
      <c r="C2" s="1" t="s">
        <v>13</v>
      </c>
      <c r="D2" s="1" t="s">
        <v>14</v>
      </c>
      <c r="E2" s="1" t="s">
        <v>15</v>
      </c>
      <c r="F2" s="1" t="s">
        <v>16</v>
      </c>
      <c r="G2" s="1" t="s">
        <v>17</v>
      </c>
      <c r="H2" s="3">
        <v>4</v>
      </c>
      <c r="I2" s="11">
        <v>599</v>
      </c>
      <c r="J2" s="10">
        <v>0.25</v>
      </c>
      <c r="K2" s="12">
        <v>1797</v>
      </c>
      <c r="L2" s="1" t="s">
        <v>18</v>
      </c>
    </row>
    <row r="3" spans="1:12" x14ac:dyDescent="0.2">
      <c r="A3" s="1" t="s">
        <v>19</v>
      </c>
      <c r="B3" s="2">
        <v>45273</v>
      </c>
      <c r="C3" s="1" t="s">
        <v>20</v>
      </c>
      <c r="D3" s="1" t="s">
        <v>21</v>
      </c>
      <c r="E3" s="1" t="s">
        <v>22</v>
      </c>
      <c r="F3" s="1" t="s">
        <v>23</v>
      </c>
      <c r="G3" s="1" t="s">
        <v>24</v>
      </c>
      <c r="H3" s="3">
        <v>1</v>
      </c>
      <c r="I3" s="11">
        <v>399</v>
      </c>
      <c r="J3" s="10">
        <v>0.05</v>
      </c>
      <c r="K3" s="12">
        <v>379.05</v>
      </c>
      <c r="L3" s="1" t="s">
        <v>25</v>
      </c>
    </row>
    <row r="4" spans="1:12" x14ac:dyDescent="0.2">
      <c r="A4" s="1" t="s">
        <v>26</v>
      </c>
      <c r="B4" s="2">
        <v>45185</v>
      </c>
      <c r="C4" s="1" t="s">
        <v>27</v>
      </c>
      <c r="D4" s="1" t="s">
        <v>14</v>
      </c>
      <c r="E4" s="1" t="s">
        <v>15</v>
      </c>
      <c r="F4" s="1" t="s">
        <v>28</v>
      </c>
      <c r="G4" s="1" t="s">
        <v>29</v>
      </c>
      <c r="H4" s="3">
        <v>9</v>
      </c>
      <c r="I4" s="11">
        <v>4999</v>
      </c>
      <c r="J4" s="10">
        <v>0.05</v>
      </c>
      <c r="K4" s="12">
        <v>42741.45</v>
      </c>
      <c r="L4" s="1" t="s">
        <v>30</v>
      </c>
    </row>
    <row r="5" spans="1:12" x14ac:dyDescent="0.2">
      <c r="A5" s="1" t="s">
        <v>31</v>
      </c>
      <c r="B5" s="2">
        <v>45228</v>
      </c>
      <c r="C5" s="1" t="s">
        <v>32</v>
      </c>
      <c r="D5" s="1" t="s">
        <v>14</v>
      </c>
      <c r="E5" s="1" t="s">
        <v>15</v>
      </c>
      <c r="F5" s="1" t="s">
        <v>33</v>
      </c>
      <c r="G5" s="1" t="s">
        <v>34</v>
      </c>
      <c r="H5" s="3">
        <v>7</v>
      </c>
      <c r="I5" s="11">
        <v>2499</v>
      </c>
      <c r="J5" s="10">
        <v>0.1</v>
      </c>
      <c r="K5" s="12">
        <v>15743.7</v>
      </c>
      <c r="L5" s="1" t="s">
        <v>25</v>
      </c>
    </row>
    <row r="6" spans="1:12" x14ac:dyDescent="0.2">
      <c r="A6" s="1" t="s">
        <v>35</v>
      </c>
      <c r="B6" s="2">
        <v>45037</v>
      </c>
      <c r="C6" s="1" t="s">
        <v>36</v>
      </c>
      <c r="D6" s="1" t="s">
        <v>21</v>
      </c>
      <c r="E6" s="1" t="s">
        <v>22</v>
      </c>
      <c r="F6" s="1" t="s">
        <v>37</v>
      </c>
      <c r="G6" s="1" t="s">
        <v>38</v>
      </c>
      <c r="H6" s="3">
        <v>2</v>
      </c>
      <c r="I6" s="11">
        <v>2999</v>
      </c>
      <c r="J6" s="10">
        <v>0.1</v>
      </c>
      <c r="K6" s="12">
        <v>5398.2</v>
      </c>
      <c r="L6" s="1" t="s">
        <v>39</v>
      </c>
    </row>
    <row r="7" spans="1:12" x14ac:dyDescent="0.2">
      <c r="A7" s="1" t="s">
        <v>40</v>
      </c>
      <c r="B7" s="2">
        <v>45062</v>
      </c>
      <c r="C7" s="1" t="s">
        <v>41</v>
      </c>
      <c r="D7" s="1" t="s">
        <v>42</v>
      </c>
      <c r="E7" s="1" t="s">
        <v>15</v>
      </c>
      <c r="F7" s="1" t="s">
        <v>37</v>
      </c>
      <c r="G7" s="1" t="s">
        <v>38</v>
      </c>
      <c r="H7" s="3">
        <v>2</v>
      </c>
      <c r="I7" s="11">
        <v>49999</v>
      </c>
      <c r="J7" s="10">
        <v>0.1</v>
      </c>
      <c r="K7" s="12">
        <v>89998.2</v>
      </c>
      <c r="L7" s="1" t="s">
        <v>39</v>
      </c>
    </row>
    <row r="8" spans="1:12" x14ac:dyDescent="0.2">
      <c r="A8" s="1" t="s">
        <v>43</v>
      </c>
      <c r="B8" s="2">
        <v>45112</v>
      </c>
      <c r="C8" s="1" t="s">
        <v>44</v>
      </c>
      <c r="D8" s="1" t="s">
        <v>45</v>
      </c>
      <c r="E8" s="1" t="s">
        <v>46</v>
      </c>
      <c r="F8" s="1" t="s">
        <v>37</v>
      </c>
      <c r="G8" s="1" t="s">
        <v>47</v>
      </c>
      <c r="H8" s="3">
        <v>4</v>
      </c>
      <c r="I8" s="11">
        <v>1999</v>
      </c>
      <c r="J8" s="10">
        <v>0</v>
      </c>
      <c r="K8" s="12">
        <v>7996</v>
      </c>
      <c r="L8" s="1" t="s">
        <v>25</v>
      </c>
    </row>
    <row r="9" spans="1:12" x14ac:dyDescent="0.2">
      <c r="A9" s="1" t="s">
        <v>48</v>
      </c>
      <c r="B9" s="2">
        <v>44978</v>
      </c>
      <c r="C9" s="1" t="s">
        <v>49</v>
      </c>
      <c r="D9" s="1" t="s">
        <v>50</v>
      </c>
      <c r="E9" s="1" t="s">
        <v>51</v>
      </c>
      <c r="F9" s="1" t="s">
        <v>52</v>
      </c>
      <c r="G9" s="1" t="s">
        <v>53</v>
      </c>
      <c r="H9" s="3">
        <v>6</v>
      </c>
      <c r="I9" s="11">
        <v>799</v>
      </c>
      <c r="J9" s="10">
        <v>0.1</v>
      </c>
      <c r="K9" s="12">
        <v>4314.6000000000004</v>
      </c>
      <c r="L9" s="1" t="s">
        <v>54</v>
      </c>
    </row>
    <row r="10" spans="1:12" x14ac:dyDescent="0.2">
      <c r="A10" s="1" t="s">
        <v>55</v>
      </c>
      <c r="B10" s="2">
        <v>45034</v>
      </c>
      <c r="C10" s="1" t="s">
        <v>32</v>
      </c>
      <c r="D10" s="1" t="s">
        <v>21</v>
      </c>
      <c r="E10" s="1" t="s">
        <v>22</v>
      </c>
      <c r="F10" s="1" t="s">
        <v>33</v>
      </c>
      <c r="G10" s="1" t="s">
        <v>56</v>
      </c>
      <c r="H10" s="3">
        <v>4</v>
      </c>
      <c r="I10" s="11">
        <v>799</v>
      </c>
      <c r="J10" s="10">
        <v>0.15</v>
      </c>
      <c r="K10" s="12">
        <v>2716.6</v>
      </c>
      <c r="L10" s="1" t="s">
        <v>30</v>
      </c>
    </row>
    <row r="11" spans="1:12" x14ac:dyDescent="0.2">
      <c r="A11" s="1" t="s">
        <v>57</v>
      </c>
      <c r="B11" s="2">
        <v>45065</v>
      </c>
      <c r="C11" s="1" t="s">
        <v>20</v>
      </c>
      <c r="D11" s="1" t="s">
        <v>45</v>
      </c>
      <c r="E11" s="1" t="s">
        <v>46</v>
      </c>
      <c r="F11" s="1" t="s">
        <v>58</v>
      </c>
      <c r="G11" s="1" t="s">
        <v>59</v>
      </c>
      <c r="H11" s="3">
        <v>4</v>
      </c>
      <c r="I11" s="11">
        <v>299</v>
      </c>
      <c r="J11" s="10">
        <v>0.1</v>
      </c>
      <c r="K11" s="12">
        <v>1076.4000000000001</v>
      </c>
      <c r="L11" s="1" t="s">
        <v>30</v>
      </c>
    </row>
    <row r="12" spans="1:12" x14ac:dyDescent="0.2">
      <c r="A12" s="1" t="s">
        <v>60</v>
      </c>
      <c r="B12" s="2">
        <v>45064</v>
      </c>
      <c r="C12" s="1" t="s">
        <v>61</v>
      </c>
      <c r="D12" s="1" t="s">
        <v>45</v>
      </c>
      <c r="E12" s="1" t="s">
        <v>46</v>
      </c>
      <c r="F12" s="1" t="s">
        <v>58</v>
      </c>
      <c r="G12" s="1" t="s">
        <v>62</v>
      </c>
      <c r="H12" s="3">
        <v>8</v>
      </c>
      <c r="I12" s="11">
        <v>3999</v>
      </c>
      <c r="J12" s="10">
        <v>0.25</v>
      </c>
      <c r="K12" s="12">
        <v>23994</v>
      </c>
      <c r="L12" s="1" t="s">
        <v>30</v>
      </c>
    </row>
    <row r="13" spans="1:12" x14ac:dyDescent="0.2">
      <c r="A13" s="1" t="s">
        <v>63</v>
      </c>
      <c r="B13" s="2">
        <v>45000</v>
      </c>
      <c r="C13" s="1" t="s">
        <v>32</v>
      </c>
      <c r="D13" s="1" t="s">
        <v>64</v>
      </c>
      <c r="E13" s="1" t="s">
        <v>46</v>
      </c>
      <c r="F13" s="1" t="s">
        <v>28</v>
      </c>
      <c r="G13" s="1" t="s">
        <v>29</v>
      </c>
      <c r="H13" s="3">
        <v>9</v>
      </c>
      <c r="I13" s="11">
        <v>49999</v>
      </c>
      <c r="J13" s="10">
        <v>0.1</v>
      </c>
      <c r="K13" s="12">
        <v>404991.9</v>
      </c>
      <c r="L13" s="1" t="s">
        <v>39</v>
      </c>
    </row>
    <row r="14" spans="1:12" x14ac:dyDescent="0.2">
      <c r="A14" s="1" t="s">
        <v>65</v>
      </c>
      <c r="B14" s="2">
        <v>45146</v>
      </c>
      <c r="C14" s="1" t="s">
        <v>44</v>
      </c>
      <c r="D14" s="1" t="s">
        <v>66</v>
      </c>
      <c r="E14" s="1" t="s">
        <v>15</v>
      </c>
      <c r="F14" s="1" t="s">
        <v>58</v>
      </c>
      <c r="G14" s="1" t="s">
        <v>62</v>
      </c>
      <c r="H14" s="3">
        <v>3</v>
      </c>
      <c r="I14" s="11">
        <v>24999</v>
      </c>
      <c r="J14" s="10">
        <v>0.15</v>
      </c>
      <c r="K14" s="12">
        <v>63747.45</v>
      </c>
      <c r="L14" s="1" t="s">
        <v>18</v>
      </c>
    </row>
    <row r="15" spans="1:12" x14ac:dyDescent="0.2">
      <c r="A15" s="1" t="s">
        <v>67</v>
      </c>
      <c r="B15" s="2">
        <v>44951</v>
      </c>
      <c r="C15" s="1" t="s">
        <v>13</v>
      </c>
      <c r="D15" s="1" t="s">
        <v>64</v>
      </c>
      <c r="E15" s="1" t="s">
        <v>46</v>
      </c>
      <c r="F15" s="1" t="s">
        <v>33</v>
      </c>
      <c r="G15" s="1" t="s">
        <v>34</v>
      </c>
      <c r="H15" s="3">
        <v>7</v>
      </c>
      <c r="I15" s="11">
        <v>399</v>
      </c>
      <c r="J15" s="10">
        <v>0.15</v>
      </c>
      <c r="K15" s="12">
        <v>2374.0500000000002</v>
      </c>
      <c r="L15" s="1" t="s">
        <v>30</v>
      </c>
    </row>
    <row r="16" spans="1:12" x14ac:dyDescent="0.2">
      <c r="A16" s="1" t="s">
        <v>68</v>
      </c>
      <c r="B16" s="2">
        <v>45232</v>
      </c>
      <c r="C16" s="1" t="s">
        <v>69</v>
      </c>
      <c r="D16" s="1" t="s">
        <v>70</v>
      </c>
      <c r="E16" s="1" t="s">
        <v>15</v>
      </c>
      <c r="F16" s="1" t="s">
        <v>16</v>
      </c>
      <c r="G16" s="1" t="s">
        <v>71</v>
      </c>
      <c r="H16" s="3">
        <v>1</v>
      </c>
      <c r="I16" s="11">
        <v>499</v>
      </c>
      <c r="J16" s="10">
        <v>0.25</v>
      </c>
      <c r="K16" s="12">
        <v>374.25</v>
      </c>
      <c r="L16" s="1" t="s">
        <v>39</v>
      </c>
    </row>
    <row r="17" spans="1:12" x14ac:dyDescent="0.2">
      <c r="A17" s="1" t="s">
        <v>72</v>
      </c>
      <c r="B17" s="2">
        <v>45063</v>
      </c>
      <c r="C17" s="1" t="s">
        <v>36</v>
      </c>
      <c r="D17" s="1" t="s">
        <v>21</v>
      </c>
      <c r="E17" s="1" t="s">
        <v>22</v>
      </c>
      <c r="F17" s="1" t="s">
        <v>16</v>
      </c>
      <c r="G17" s="1" t="s">
        <v>73</v>
      </c>
      <c r="H17" s="3">
        <v>3</v>
      </c>
      <c r="I17" s="11">
        <v>9999</v>
      </c>
      <c r="J17" s="10">
        <v>0</v>
      </c>
      <c r="K17" s="12">
        <v>29997</v>
      </c>
      <c r="L17" s="1" t="s">
        <v>54</v>
      </c>
    </row>
    <row r="18" spans="1:12" x14ac:dyDescent="0.2">
      <c r="A18" s="1" t="s">
        <v>74</v>
      </c>
      <c r="B18" s="2">
        <v>45183</v>
      </c>
      <c r="C18" s="1" t="s">
        <v>75</v>
      </c>
      <c r="D18" s="1" t="s">
        <v>70</v>
      </c>
      <c r="E18" s="1" t="s">
        <v>15</v>
      </c>
      <c r="F18" s="1" t="s">
        <v>37</v>
      </c>
      <c r="G18" s="1" t="s">
        <v>76</v>
      </c>
      <c r="H18" s="3">
        <v>5</v>
      </c>
      <c r="I18" s="11">
        <v>24999</v>
      </c>
      <c r="J18" s="10">
        <v>0.2</v>
      </c>
      <c r="K18" s="12">
        <v>99996</v>
      </c>
      <c r="L18" s="1" t="s">
        <v>25</v>
      </c>
    </row>
    <row r="19" spans="1:12" x14ac:dyDescent="0.2">
      <c r="A19" s="1" t="s">
        <v>77</v>
      </c>
      <c r="B19" s="2">
        <v>45005</v>
      </c>
      <c r="C19" s="1" t="s">
        <v>78</v>
      </c>
      <c r="D19" s="1" t="s">
        <v>64</v>
      </c>
      <c r="E19" s="1" t="s">
        <v>46</v>
      </c>
      <c r="F19" s="1" t="s">
        <v>79</v>
      </c>
      <c r="G19" s="1" t="s">
        <v>80</v>
      </c>
      <c r="H19" s="3">
        <v>6</v>
      </c>
      <c r="I19" s="11">
        <v>14999</v>
      </c>
      <c r="J19" s="10">
        <v>0</v>
      </c>
      <c r="K19" s="12">
        <v>89994</v>
      </c>
      <c r="L19" s="1" t="s">
        <v>18</v>
      </c>
    </row>
    <row r="20" spans="1:12" x14ac:dyDescent="0.2">
      <c r="A20" s="1" t="s">
        <v>81</v>
      </c>
      <c r="B20" s="2">
        <v>45112</v>
      </c>
      <c r="C20" s="1" t="s">
        <v>82</v>
      </c>
      <c r="D20" s="1" t="s">
        <v>45</v>
      </c>
      <c r="E20" s="1" t="s">
        <v>46</v>
      </c>
      <c r="F20" s="1" t="s">
        <v>79</v>
      </c>
      <c r="G20" s="1" t="s">
        <v>83</v>
      </c>
      <c r="H20" s="3">
        <v>10</v>
      </c>
      <c r="I20" s="11">
        <v>399</v>
      </c>
      <c r="J20" s="10">
        <v>0</v>
      </c>
      <c r="K20" s="12">
        <v>3990</v>
      </c>
      <c r="L20" s="1" t="s">
        <v>30</v>
      </c>
    </row>
    <row r="21" spans="1:12" x14ac:dyDescent="0.2">
      <c r="A21" s="1" t="s">
        <v>84</v>
      </c>
      <c r="B21" s="2">
        <v>44962</v>
      </c>
      <c r="C21" s="1" t="s">
        <v>20</v>
      </c>
      <c r="D21" s="1" t="s">
        <v>64</v>
      </c>
      <c r="E21" s="1" t="s">
        <v>46</v>
      </c>
      <c r="F21" s="1" t="s">
        <v>33</v>
      </c>
      <c r="G21" s="1" t="s">
        <v>34</v>
      </c>
      <c r="H21" s="3">
        <v>8</v>
      </c>
      <c r="I21" s="11">
        <v>49999</v>
      </c>
      <c r="J21" s="10">
        <v>0.05</v>
      </c>
      <c r="K21" s="12">
        <v>379992.4</v>
      </c>
      <c r="L21" s="1" t="s">
        <v>54</v>
      </c>
    </row>
    <row r="22" spans="1:12" x14ac:dyDescent="0.2">
      <c r="A22" s="1" t="s">
        <v>85</v>
      </c>
      <c r="B22" s="2">
        <v>45197</v>
      </c>
      <c r="C22" s="1" t="s">
        <v>27</v>
      </c>
      <c r="D22" s="1" t="s">
        <v>66</v>
      </c>
      <c r="E22" s="1" t="s">
        <v>15</v>
      </c>
      <c r="F22" s="1" t="s">
        <v>28</v>
      </c>
      <c r="G22" s="1" t="s">
        <v>86</v>
      </c>
      <c r="H22" s="3">
        <v>4</v>
      </c>
      <c r="I22" s="11">
        <v>1999</v>
      </c>
      <c r="J22" s="10">
        <v>0.15</v>
      </c>
      <c r="K22" s="12">
        <v>6796.6</v>
      </c>
      <c r="L22" s="1" t="s">
        <v>54</v>
      </c>
    </row>
    <row r="23" spans="1:12" x14ac:dyDescent="0.2">
      <c r="A23" s="1" t="s">
        <v>87</v>
      </c>
      <c r="B23" s="2">
        <v>45151</v>
      </c>
      <c r="C23" s="1" t="s">
        <v>88</v>
      </c>
      <c r="D23" s="1" t="s">
        <v>42</v>
      </c>
      <c r="E23" s="1" t="s">
        <v>15</v>
      </c>
      <c r="F23" s="1" t="s">
        <v>37</v>
      </c>
      <c r="G23" s="1" t="s">
        <v>89</v>
      </c>
      <c r="H23" s="3">
        <v>4</v>
      </c>
      <c r="I23" s="11">
        <v>399</v>
      </c>
      <c r="J23" s="10">
        <v>0.1</v>
      </c>
      <c r="K23" s="12">
        <v>1436.4</v>
      </c>
      <c r="L23" s="1" t="s">
        <v>18</v>
      </c>
    </row>
    <row r="24" spans="1:12" x14ac:dyDescent="0.2">
      <c r="A24" s="1" t="s">
        <v>90</v>
      </c>
      <c r="B24" s="2">
        <v>45228</v>
      </c>
      <c r="C24" s="1" t="s">
        <v>20</v>
      </c>
      <c r="D24" s="1" t="s">
        <v>45</v>
      </c>
      <c r="E24" s="1" t="s">
        <v>46</v>
      </c>
      <c r="F24" s="1" t="s">
        <v>28</v>
      </c>
      <c r="G24" s="1" t="s">
        <v>91</v>
      </c>
      <c r="H24" s="3">
        <v>2</v>
      </c>
      <c r="I24" s="11">
        <v>299</v>
      </c>
      <c r="J24" s="10">
        <v>0.05</v>
      </c>
      <c r="K24" s="12">
        <v>568.1</v>
      </c>
      <c r="L24" s="1" t="s">
        <v>18</v>
      </c>
    </row>
    <row r="25" spans="1:12" x14ac:dyDescent="0.2">
      <c r="A25" s="1" t="s">
        <v>92</v>
      </c>
      <c r="B25" s="2">
        <v>44943</v>
      </c>
      <c r="C25" s="1" t="s">
        <v>36</v>
      </c>
      <c r="D25" s="1" t="s">
        <v>21</v>
      </c>
      <c r="E25" s="1" t="s">
        <v>22</v>
      </c>
      <c r="F25" s="1" t="s">
        <v>28</v>
      </c>
      <c r="G25" s="1" t="s">
        <v>93</v>
      </c>
      <c r="H25" s="3">
        <v>8</v>
      </c>
      <c r="I25" s="11">
        <v>999</v>
      </c>
      <c r="J25" s="10">
        <v>0.2</v>
      </c>
      <c r="K25" s="12">
        <v>6393.6</v>
      </c>
      <c r="L25" s="1" t="s">
        <v>25</v>
      </c>
    </row>
    <row r="26" spans="1:12" x14ac:dyDescent="0.2">
      <c r="A26" s="1" t="s">
        <v>94</v>
      </c>
      <c r="B26" s="2">
        <v>45219</v>
      </c>
      <c r="C26" s="1" t="s">
        <v>44</v>
      </c>
      <c r="D26" s="1" t="s">
        <v>42</v>
      </c>
      <c r="E26" s="1" t="s">
        <v>15</v>
      </c>
      <c r="F26" s="1" t="s">
        <v>28</v>
      </c>
      <c r="G26" s="1" t="s">
        <v>95</v>
      </c>
      <c r="H26" s="3">
        <v>7</v>
      </c>
      <c r="I26" s="11">
        <v>999</v>
      </c>
      <c r="J26" s="10">
        <v>0</v>
      </c>
      <c r="K26" s="12">
        <v>6993</v>
      </c>
      <c r="L26" s="1" t="s">
        <v>18</v>
      </c>
    </row>
    <row r="27" spans="1:12" x14ac:dyDescent="0.2">
      <c r="A27" s="1" t="s">
        <v>96</v>
      </c>
      <c r="B27" s="2">
        <v>45264</v>
      </c>
      <c r="C27" s="1" t="s">
        <v>97</v>
      </c>
      <c r="D27" s="1" t="s">
        <v>98</v>
      </c>
      <c r="E27" s="1" t="s">
        <v>46</v>
      </c>
      <c r="F27" s="1" t="s">
        <v>23</v>
      </c>
      <c r="G27" s="1" t="s">
        <v>99</v>
      </c>
      <c r="H27" s="3">
        <v>8</v>
      </c>
      <c r="I27" s="11">
        <v>299</v>
      </c>
      <c r="J27" s="10">
        <v>0.25</v>
      </c>
      <c r="K27" s="12">
        <v>1794</v>
      </c>
      <c r="L27" s="1" t="s">
        <v>18</v>
      </c>
    </row>
    <row r="28" spans="1:12" x14ac:dyDescent="0.2">
      <c r="A28" s="1" t="s">
        <v>100</v>
      </c>
      <c r="B28" s="2">
        <v>44958</v>
      </c>
      <c r="C28" s="1" t="s">
        <v>49</v>
      </c>
      <c r="D28" s="1" t="s">
        <v>98</v>
      </c>
      <c r="E28" s="1" t="s">
        <v>46</v>
      </c>
      <c r="F28" s="1" t="s">
        <v>37</v>
      </c>
      <c r="G28" s="1" t="s">
        <v>89</v>
      </c>
      <c r="H28" s="3">
        <v>4</v>
      </c>
      <c r="I28" s="11">
        <v>999</v>
      </c>
      <c r="J28" s="10">
        <v>0.2</v>
      </c>
      <c r="K28" s="12">
        <v>3196.8</v>
      </c>
      <c r="L28" s="1" t="s">
        <v>30</v>
      </c>
    </row>
    <row r="29" spans="1:12" x14ac:dyDescent="0.2">
      <c r="A29" s="1" t="s">
        <v>101</v>
      </c>
      <c r="B29" s="2">
        <v>44998</v>
      </c>
      <c r="C29" s="1" t="s">
        <v>97</v>
      </c>
      <c r="D29" s="1" t="s">
        <v>64</v>
      </c>
      <c r="E29" s="1" t="s">
        <v>46</v>
      </c>
      <c r="F29" s="1" t="s">
        <v>16</v>
      </c>
      <c r="G29" s="1" t="s">
        <v>73</v>
      </c>
      <c r="H29" s="3">
        <v>4</v>
      </c>
      <c r="I29" s="11">
        <v>399</v>
      </c>
      <c r="J29" s="10">
        <v>0.15</v>
      </c>
      <c r="K29" s="12">
        <v>1356.6</v>
      </c>
      <c r="L29" s="1" t="s">
        <v>39</v>
      </c>
    </row>
    <row r="30" spans="1:12" x14ac:dyDescent="0.2">
      <c r="A30" s="1" t="s">
        <v>102</v>
      </c>
      <c r="B30" s="2">
        <v>44977</v>
      </c>
      <c r="C30" s="1" t="s">
        <v>41</v>
      </c>
      <c r="D30" s="1" t="s">
        <v>70</v>
      </c>
      <c r="E30" s="1" t="s">
        <v>15</v>
      </c>
      <c r="F30" s="1" t="s">
        <v>79</v>
      </c>
      <c r="G30" s="1" t="s">
        <v>103</v>
      </c>
      <c r="H30" s="3">
        <v>4</v>
      </c>
      <c r="I30" s="11">
        <v>799</v>
      </c>
      <c r="J30" s="10">
        <v>0.15</v>
      </c>
      <c r="K30" s="12">
        <v>2716.6</v>
      </c>
      <c r="L30" s="1" t="s">
        <v>30</v>
      </c>
    </row>
    <row r="31" spans="1:12" x14ac:dyDescent="0.2">
      <c r="A31" s="1" t="s">
        <v>104</v>
      </c>
      <c r="B31" s="2">
        <v>45173</v>
      </c>
      <c r="C31" s="1" t="s">
        <v>105</v>
      </c>
      <c r="D31" s="1" t="s">
        <v>66</v>
      </c>
      <c r="E31" s="1" t="s">
        <v>15</v>
      </c>
      <c r="F31" s="1" t="s">
        <v>79</v>
      </c>
      <c r="G31" s="1" t="s">
        <v>83</v>
      </c>
      <c r="H31" s="3">
        <v>7</v>
      </c>
      <c r="I31" s="11">
        <v>199</v>
      </c>
      <c r="J31" s="10">
        <v>0.15</v>
      </c>
      <c r="K31" s="12">
        <v>1184.05</v>
      </c>
      <c r="L31" s="1" t="s">
        <v>18</v>
      </c>
    </row>
    <row r="32" spans="1:12" x14ac:dyDescent="0.2">
      <c r="A32" s="1" t="s">
        <v>106</v>
      </c>
      <c r="B32" s="2">
        <v>45159</v>
      </c>
      <c r="C32" s="1" t="s">
        <v>82</v>
      </c>
      <c r="D32" s="1" t="s">
        <v>66</v>
      </c>
      <c r="E32" s="1" t="s">
        <v>15</v>
      </c>
      <c r="F32" s="1" t="s">
        <v>52</v>
      </c>
      <c r="G32" s="1" t="s">
        <v>107</v>
      </c>
      <c r="H32" s="3">
        <v>4</v>
      </c>
      <c r="I32" s="11">
        <v>1999</v>
      </c>
      <c r="J32" s="10">
        <v>0.05</v>
      </c>
      <c r="K32" s="12">
        <v>7596.2</v>
      </c>
      <c r="L32" s="1" t="s">
        <v>18</v>
      </c>
    </row>
    <row r="33" spans="1:12" x14ac:dyDescent="0.2">
      <c r="A33" s="1" t="s">
        <v>108</v>
      </c>
      <c r="B33" s="2">
        <v>45223</v>
      </c>
      <c r="C33" s="1" t="s">
        <v>20</v>
      </c>
      <c r="D33" s="1" t="s">
        <v>14</v>
      </c>
      <c r="E33" s="1" t="s">
        <v>15</v>
      </c>
      <c r="F33" s="1" t="s">
        <v>58</v>
      </c>
      <c r="G33" s="1" t="s">
        <v>59</v>
      </c>
      <c r="H33" s="3">
        <v>1</v>
      </c>
      <c r="I33" s="11">
        <v>14999</v>
      </c>
      <c r="J33" s="10">
        <v>0.2</v>
      </c>
      <c r="K33" s="12">
        <v>11999.2</v>
      </c>
      <c r="L33" s="1" t="s">
        <v>39</v>
      </c>
    </row>
    <row r="34" spans="1:12" x14ac:dyDescent="0.2">
      <c r="A34" s="1" t="s">
        <v>109</v>
      </c>
      <c r="B34" s="2">
        <v>45007</v>
      </c>
      <c r="C34" s="1" t="s">
        <v>41</v>
      </c>
      <c r="D34" s="1" t="s">
        <v>70</v>
      </c>
      <c r="E34" s="1" t="s">
        <v>15</v>
      </c>
      <c r="F34" s="1" t="s">
        <v>37</v>
      </c>
      <c r="G34" s="1" t="s">
        <v>89</v>
      </c>
      <c r="H34" s="3">
        <v>2</v>
      </c>
      <c r="I34" s="11">
        <v>399</v>
      </c>
      <c r="J34" s="10">
        <v>0.25</v>
      </c>
      <c r="K34" s="12">
        <v>598.5</v>
      </c>
      <c r="L34" s="1" t="s">
        <v>25</v>
      </c>
    </row>
    <row r="35" spans="1:12" x14ac:dyDescent="0.2">
      <c r="A35" s="1" t="s">
        <v>110</v>
      </c>
      <c r="B35" s="2">
        <v>45133</v>
      </c>
      <c r="C35" s="1" t="s">
        <v>13</v>
      </c>
      <c r="D35" s="1" t="s">
        <v>111</v>
      </c>
      <c r="E35" s="1" t="s">
        <v>22</v>
      </c>
      <c r="F35" s="1" t="s">
        <v>28</v>
      </c>
      <c r="G35" s="1" t="s">
        <v>86</v>
      </c>
      <c r="H35" s="3">
        <v>10</v>
      </c>
      <c r="I35" s="11">
        <v>299</v>
      </c>
      <c r="J35" s="10">
        <v>0.2</v>
      </c>
      <c r="K35" s="12">
        <v>2392</v>
      </c>
      <c r="L35" s="1" t="s">
        <v>18</v>
      </c>
    </row>
    <row r="36" spans="1:12" x14ac:dyDescent="0.2">
      <c r="A36" s="1" t="s">
        <v>112</v>
      </c>
      <c r="B36" s="2">
        <v>45141</v>
      </c>
      <c r="C36" s="1" t="s">
        <v>44</v>
      </c>
      <c r="D36" s="1" t="s">
        <v>111</v>
      </c>
      <c r="E36" s="1" t="s">
        <v>22</v>
      </c>
      <c r="F36" s="1" t="s">
        <v>58</v>
      </c>
      <c r="G36" s="1" t="s">
        <v>113</v>
      </c>
      <c r="H36" s="3">
        <v>4</v>
      </c>
      <c r="I36" s="11">
        <v>2499</v>
      </c>
      <c r="J36" s="10">
        <v>0.05</v>
      </c>
      <c r="K36" s="12">
        <v>9496.2000000000007</v>
      </c>
      <c r="L36" s="1" t="s">
        <v>54</v>
      </c>
    </row>
    <row r="37" spans="1:12" x14ac:dyDescent="0.2">
      <c r="A37" s="1" t="s">
        <v>114</v>
      </c>
      <c r="B37" s="2">
        <v>45129</v>
      </c>
      <c r="C37" s="1" t="s">
        <v>115</v>
      </c>
      <c r="D37" s="1" t="s">
        <v>50</v>
      </c>
      <c r="E37" s="1" t="s">
        <v>51</v>
      </c>
      <c r="F37" s="1" t="s">
        <v>52</v>
      </c>
      <c r="G37" s="1" t="s">
        <v>116</v>
      </c>
      <c r="H37" s="3">
        <v>2</v>
      </c>
      <c r="I37" s="11">
        <v>199</v>
      </c>
      <c r="J37" s="10">
        <v>0.15</v>
      </c>
      <c r="K37" s="12">
        <v>338.3</v>
      </c>
      <c r="L37" s="1" t="s">
        <v>39</v>
      </c>
    </row>
    <row r="38" spans="1:12" x14ac:dyDescent="0.2">
      <c r="A38" s="1" t="s">
        <v>117</v>
      </c>
      <c r="B38" s="2">
        <v>45215</v>
      </c>
      <c r="C38" s="1" t="s">
        <v>13</v>
      </c>
      <c r="D38" s="1" t="s">
        <v>21</v>
      </c>
      <c r="E38" s="1" t="s">
        <v>22</v>
      </c>
      <c r="F38" s="1" t="s">
        <v>28</v>
      </c>
      <c r="G38" s="1" t="s">
        <v>86</v>
      </c>
      <c r="H38" s="3">
        <v>5</v>
      </c>
      <c r="I38" s="11">
        <v>599</v>
      </c>
      <c r="J38" s="10">
        <v>0.1</v>
      </c>
      <c r="K38" s="12">
        <v>2695.5</v>
      </c>
      <c r="L38" s="1" t="s">
        <v>18</v>
      </c>
    </row>
    <row r="39" spans="1:12" x14ac:dyDescent="0.2">
      <c r="A39" s="1" t="s">
        <v>118</v>
      </c>
      <c r="B39" s="2">
        <v>45052</v>
      </c>
      <c r="C39" s="1" t="s">
        <v>78</v>
      </c>
      <c r="D39" s="1" t="s">
        <v>50</v>
      </c>
      <c r="E39" s="1" t="s">
        <v>51</v>
      </c>
      <c r="F39" s="1" t="s">
        <v>33</v>
      </c>
      <c r="G39" s="1" t="s">
        <v>119</v>
      </c>
      <c r="H39" s="3">
        <v>9</v>
      </c>
      <c r="I39" s="11">
        <v>1999</v>
      </c>
      <c r="J39" s="10">
        <v>0.2</v>
      </c>
      <c r="K39" s="12">
        <v>14392.8</v>
      </c>
      <c r="L39" s="1" t="s">
        <v>39</v>
      </c>
    </row>
    <row r="40" spans="1:12" x14ac:dyDescent="0.2">
      <c r="A40" s="1" t="s">
        <v>120</v>
      </c>
      <c r="B40" s="2">
        <v>44931</v>
      </c>
      <c r="C40" s="1" t="s">
        <v>20</v>
      </c>
      <c r="D40" s="1" t="s">
        <v>50</v>
      </c>
      <c r="E40" s="1" t="s">
        <v>51</v>
      </c>
      <c r="F40" s="1" t="s">
        <v>37</v>
      </c>
      <c r="G40" s="1" t="s">
        <v>89</v>
      </c>
      <c r="H40" s="3">
        <v>5</v>
      </c>
      <c r="I40" s="11">
        <v>499</v>
      </c>
      <c r="J40" s="10">
        <v>0</v>
      </c>
      <c r="K40" s="12">
        <v>2495</v>
      </c>
      <c r="L40" s="1" t="s">
        <v>39</v>
      </c>
    </row>
    <row r="41" spans="1:12" x14ac:dyDescent="0.2">
      <c r="A41" s="1" t="s">
        <v>121</v>
      </c>
      <c r="B41" s="2">
        <v>45006</v>
      </c>
      <c r="C41" s="1" t="s">
        <v>32</v>
      </c>
      <c r="D41" s="1" t="s">
        <v>50</v>
      </c>
      <c r="E41" s="1" t="s">
        <v>51</v>
      </c>
      <c r="F41" s="1" t="s">
        <v>28</v>
      </c>
      <c r="G41" s="1" t="s">
        <v>29</v>
      </c>
      <c r="H41" s="3">
        <v>6</v>
      </c>
      <c r="I41" s="11">
        <v>999</v>
      </c>
      <c r="J41" s="10">
        <v>0.25</v>
      </c>
      <c r="K41" s="12">
        <v>4495.5</v>
      </c>
      <c r="L41" s="1" t="s">
        <v>54</v>
      </c>
    </row>
    <row r="42" spans="1:12" x14ac:dyDescent="0.2">
      <c r="A42" s="1" t="s">
        <v>122</v>
      </c>
      <c r="B42" s="2">
        <v>45185</v>
      </c>
      <c r="C42" s="1" t="s">
        <v>123</v>
      </c>
      <c r="D42" s="1" t="s">
        <v>50</v>
      </c>
      <c r="E42" s="1" t="s">
        <v>51</v>
      </c>
      <c r="F42" s="1" t="s">
        <v>79</v>
      </c>
      <c r="G42" s="1" t="s">
        <v>103</v>
      </c>
      <c r="H42" s="3">
        <v>7</v>
      </c>
      <c r="I42" s="11">
        <v>1499</v>
      </c>
      <c r="J42" s="10">
        <v>0</v>
      </c>
      <c r="K42" s="12">
        <v>10493</v>
      </c>
      <c r="L42" s="1" t="s">
        <v>18</v>
      </c>
    </row>
    <row r="43" spans="1:12" x14ac:dyDescent="0.2">
      <c r="A43" s="1" t="s">
        <v>124</v>
      </c>
      <c r="B43" s="2">
        <v>45097</v>
      </c>
      <c r="C43" s="1" t="s">
        <v>115</v>
      </c>
      <c r="D43" s="1" t="s">
        <v>50</v>
      </c>
      <c r="E43" s="1" t="s">
        <v>51</v>
      </c>
      <c r="F43" s="1" t="s">
        <v>33</v>
      </c>
      <c r="G43" s="1" t="s">
        <v>34</v>
      </c>
      <c r="H43" s="3">
        <v>8</v>
      </c>
      <c r="I43" s="11">
        <v>49999</v>
      </c>
      <c r="J43" s="10">
        <v>0.25</v>
      </c>
      <c r="K43" s="12">
        <v>299994</v>
      </c>
      <c r="L43" s="1" t="s">
        <v>30</v>
      </c>
    </row>
    <row r="44" spans="1:12" x14ac:dyDescent="0.2">
      <c r="A44" s="1" t="s">
        <v>125</v>
      </c>
      <c r="B44" s="2">
        <v>45214</v>
      </c>
      <c r="C44" s="1" t="s">
        <v>126</v>
      </c>
      <c r="D44" s="1" t="s">
        <v>21</v>
      </c>
      <c r="E44" s="1" t="s">
        <v>22</v>
      </c>
      <c r="F44" s="1" t="s">
        <v>37</v>
      </c>
      <c r="G44" s="1" t="s">
        <v>76</v>
      </c>
      <c r="H44" s="3">
        <v>3</v>
      </c>
      <c r="I44" s="11">
        <v>49999</v>
      </c>
      <c r="J44" s="10">
        <v>0</v>
      </c>
      <c r="K44" s="12">
        <v>149997</v>
      </c>
      <c r="L44" s="1" t="s">
        <v>54</v>
      </c>
    </row>
    <row r="45" spans="1:12" x14ac:dyDescent="0.2">
      <c r="A45" s="1" t="s">
        <v>127</v>
      </c>
      <c r="B45" s="2">
        <v>45225</v>
      </c>
      <c r="C45" s="1" t="s">
        <v>20</v>
      </c>
      <c r="D45" s="1" t="s">
        <v>64</v>
      </c>
      <c r="E45" s="1" t="s">
        <v>46</v>
      </c>
      <c r="F45" s="1" t="s">
        <v>23</v>
      </c>
      <c r="G45" s="1" t="s">
        <v>128</v>
      </c>
      <c r="H45" s="3">
        <v>1</v>
      </c>
      <c r="I45" s="11">
        <v>1999</v>
      </c>
      <c r="J45" s="10">
        <v>0.1</v>
      </c>
      <c r="K45" s="12">
        <v>1799.1</v>
      </c>
      <c r="L45" s="1" t="s">
        <v>18</v>
      </c>
    </row>
    <row r="46" spans="1:12" x14ac:dyDescent="0.2">
      <c r="A46" s="1" t="s">
        <v>129</v>
      </c>
      <c r="B46" s="2">
        <v>45110</v>
      </c>
      <c r="C46" s="1" t="s">
        <v>105</v>
      </c>
      <c r="D46" s="1" t="s">
        <v>21</v>
      </c>
      <c r="E46" s="1" t="s">
        <v>46</v>
      </c>
      <c r="F46" s="1" t="s">
        <v>37</v>
      </c>
      <c r="G46" s="1" t="s">
        <v>130</v>
      </c>
      <c r="H46" s="3">
        <v>9</v>
      </c>
      <c r="I46" s="11">
        <v>4999</v>
      </c>
      <c r="J46" s="10">
        <v>0.2</v>
      </c>
      <c r="K46" s="12">
        <v>35992.800000000003</v>
      </c>
      <c r="L46" s="1" t="s">
        <v>25</v>
      </c>
    </row>
    <row r="47" spans="1:12" x14ac:dyDescent="0.2">
      <c r="A47" s="1" t="s">
        <v>131</v>
      </c>
      <c r="B47" s="2">
        <v>45048</v>
      </c>
      <c r="C47" s="1" t="s">
        <v>75</v>
      </c>
      <c r="D47" s="1" t="s">
        <v>64</v>
      </c>
      <c r="E47" s="1" t="s">
        <v>46</v>
      </c>
      <c r="F47" s="1" t="s">
        <v>23</v>
      </c>
      <c r="G47" s="1" t="s">
        <v>24</v>
      </c>
      <c r="H47" s="3">
        <v>3</v>
      </c>
      <c r="I47" s="11">
        <v>2499</v>
      </c>
      <c r="J47" s="10">
        <v>0.15</v>
      </c>
      <c r="K47" s="12">
        <v>6372.45</v>
      </c>
      <c r="L47" s="1" t="s">
        <v>25</v>
      </c>
    </row>
    <row r="48" spans="1:12" x14ac:dyDescent="0.2">
      <c r="A48" s="1" t="s">
        <v>132</v>
      </c>
      <c r="B48" s="2">
        <v>45063</v>
      </c>
      <c r="C48" s="1" t="s">
        <v>75</v>
      </c>
      <c r="D48" s="1" t="s">
        <v>21</v>
      </c>
      <c r="E48" s="1" t="s">
        <v>22</v>
      </c>
      <c r="F48" s="1" t="s">
        <v>23</v>
      </c>
      <c r="G48" s="1" t="s">
        <v>24</v>
      </c>
      <c r="H48" s="3">
        <v>8</v>
      </c>
      <c r="I48" s="11">
        <v>1299</v>
      </c>
      <c r="J48" s="10">
        <v>0.05</v>
      </c>
      <c r="K48" s="12">
        <v>9872.4</v>
      </c>
      <c r="L48" s="1" t="s">
        <v>30</v>
      </c>
    </row>
    <row r="49" spans="1:12" x14ac:dyDescent="0.2">
      <c r="A49" s="1" t="s">
        <v>133</v>
      </c>
      <c r="B49" s="2">
        <v>45106</v>
      </c>
      <c r="C49" s="1" t="s">
        <v>82</v>
      </c>
      <c r="D49" s="1" t="s">
        <v>45</v>
      </c>
      <c r="E49" s="1" t="s">
        <v>46</v>
      </c>
      <c r="F49" s="1" t="s">
        <v>28</v>
      </c>
      <c r="G49" s="1" t="s">
        <v>91</v>
      </c>
      <c r="H49" s="3">
        <v>4</v>
      </c>
      <c r="I49" s="11">
        <v>3999</v>
      </c>
      <c r="J49" s="10">
        <v>0.1</v>
      </c>
      <c r="K49" s="12">
        <v>14396.4</v>
      </c>
      <c r="L49" s="1" t="s">
        <v>54</v>
      </c>
    </row>
    <row r="50" spans="1:12" x14ac:dyDescent="0.2">
      <c r="A50" s="1" t="s">
        <v>134</v>
      </c>
      <c r="B50" s="2">
        <v>44962</v>
      </c>
      <c r="C50" s="1" t="s">
        <v>32</v>
      </c>
      <c r="D50" s="1" t="s">
        <v>98</v>
      </c>
      <c r="E50" s="1" t="s">
        <v>46</v>
      </c>
      <c r="F50" s="1" t="s">
        <v>23</v>
      </c>
      <c r="G50" s="1" t="s">
        <v>135</v>
      </c>
      <c r="H50" s="3">
        <v>9</v>
      </c>
      <c r="I50" s="11">
        <v>2499</v>
      </c>
      <c r="J50" s="10">
        <v>0</v>
      </c>
      <c r="K50" s="12">
        <v>22491</v>
      </c>
      <c r="L50" s="1" t="s">
        <v>18</v>
      </c>
    </row>
    <row r="51" spans="1:12" x14ac:dyDescent="0.2">
      <c r="A51" s="1" t="s">
        <v>136</v>
      </c>
      <c r="B51" s="2">
        <v>45060</v>
      </c>
      <c r="C51" s="1" t="s">
        <v>75</v>
      </c>
      <c r="D51" s="1" t="s">
        <v>111</v>
      </c>
      <c r="E51" s="1" t="s">
        <v>22</v>
      </c>
      <c r="F51" s="1" t="s">
        <v>16</v>
      </c>
      <c r="G51" s="1" t="s">
        <v>137</v>
      </c>
      <c r="H51" s="3">
        <v>2</v>
      </c>
      <c r="I51" s="11">
        <v>4999</v>
      </c>
      <c r="J51" s="10">
        <v>0.1</v>
      </c>
      <c r="K51" s="12">
        <v>8998.2000000000007</v>
      </c>
      <c r="L51" s="1" t="s">
        <v>54</v>
      </c>
    </row>
    <row r="52" spans="1:12" x14ac:dyDescent="0.2">
      <c r="A52" s="1" t="s">
        <v>138</v>
      </c>
      <c r="B52" s="2">
        <v>45150</v>
      </c>
      <c r="C52" s="1" t="s">
        <v>27</v>
      </c>
      <c r="D52" s="1" t="s">
        <v>70</v>
      </c>
      <c r="E52" s="1" t="s">
        <v>15</v>
      </c>
      <c r="F52" s="1" t="s">
        <v>37</v>
      </c>
      <c r="G52" s="1" t="s">
        <v>38</v>
      </c>
      <c r="H52" s="3">
        <v>10</v>
      </c>
      <c r="I52" s="11">
        <v>999</v>
      </c>
      <c r="J52" s="10">
        <v>0.1</v>
      </c>
      <c r="K52" s="12">
        <v>8991</v>
      </c>
      <c r="L52" s="1" t="s">
        <v>18</v>
      </c>
    </row>
    <row r="53" spans="1:12" x14ac:dyDescent="0.2">
      <c r="A53" s="1" t="s">
        <v>139</v>
      </c>
      <c r="B53" s="2">
        <v>45289</v>
      </c>
      <c r="C53" s="1" t="s">
        <v>97</v>
      </c>
      <c r="D53" s="1" t="s">
        <v>14</v>
      </c>
      <c r="E53" s="1" t="s">
        <v>15</v>
      </c>
      <c r="F53" s="1" t="s">
        <v>28</v>
      </c>
      <c r="G53" s="1" t="s">
        <v>93</v>
      </c>
      <c r="H53" s="3">
        <v>7</v>
      </c>
      <c r="I53" s="11">
        <v>399</v>
      </c>
      <c r="J53" s="10">
        <v>0.25</v>
      </c>
      <c r="K53" s="12">
        <v>2094.75</v>
      </c>
      <c r="L53" s="1" t="s">
        <v>54</v>
      </c>
    </row>
    <row r="54" spans="1:12" x14ac:dyDescent="0.2">
      <c r="A54" s="1" t="s">
        <v>140</v>
      </c>
      <c r="B54" s="2">
        <v>45246</v>
      </c>
      <c r="C54" s="1" t="s">
        <v>36</v>
      </c>
      <c r="D54" s="1" t="s">
        <v>21</v>
      </c>
      <c r="E54" s="1" t="s">
        <v>22</v>
      </c>
      <c r="F54" s="1" t="s">
        <v>16</v>
      </c>
      <c r="G54" s="1" t="s">
        <v>71</v>
      </c>
      <c r="H54" s="3">
        <v>5</v>
      </c>
      <c r="I54" s="11">
        <v>4999</v>
      </c>
      <c r="J54" s="10">
        <v>0.1</v>
      </c>
      <c r="K54" s="12">
        <v>22495.5</v>
      </c>
      <c r="L54" s="1" t="s">
        <v>30</v>
      </c>
    </row>
    <row r="55" spans="1:12" x14ac:dyDescent="0.2">
      <c r="A55" s="1" t="s">
        <v>141</v>
      </c>
      <c r="B55" s="2">
        <v>45283</v>
      </c>
      <c r="C55" s="1" t="s">
        <v>82</v>
      </c>
      <c r="D55" s="1" t="s">
        <v>70</v>
      </c>
      <c r="E55" s="1" t="s">
        <v>15</v>
      </c>
      <c r="F55" s="1" t="s">
        <v>33</v>
      </c>
      <c r="G55" s="1" t="s">
        <v>142</v>
      </c>
      <c r="H55" s="3">
        <v>7</v>
      </c>
      <c r="I55" s="11">
        <v>3999</v>
      </c>
      <c r="J55" s="10">
        <v>0.25</v>
      </c>
      <c r="K55" s="12">
        <v>20994.75</v>
      </c>
      <c r="L55" s="1" t="s">
        <v>25</v>
      </c>
    </row>
    <row r="56" spans="1:12" x14ac:dyDescent="0.2">
      <c r="A56" s="1" t="s">
        <v>143</v>
      </c>
      <c r="B56" s="2">
        <v>45242</v>
      </c>
      <c r="C56" s="1" t="s">
        <v>44</v>
      </c>
      <c r="D56" s="1" t="s">
        <v>50</v>
      </c>
      <c r="E56" s="1" t="s">
        <v>51</v>
      </c>
      <c r="F56" s="1" t="s">
        <v>23</v>
      </c>
      <c r="G56" s="1" t="s">
        <v>144</v>
      </c>
      <c r="H56" s="3">
        <v>1</v>
      </c>
      <c r="I56" s="11">
        <v>1999</v>
      </c>
      <c r="J56" s="10">
        <v>0.1</v>
      </c>
      <c r="K56" s="12">
        <v>1799.1</v>
      </c>
      <c r="L56" s="1" t="s">
        <v>25</v>
      </c>
    </row>
    <row r="57" spans="1:12" x14ac:dyDescent="0.2">
      <c r="A57" s="1" t="s">
        <v>145</v>
      </c>
      <c r="B57" s="2">
        <v>45147</v>
      </c>
      <c r="C57" s="1" t="s">
        <v>44</v>
      </c>
      <c r="D57" s="1" t="s">
        <v>111</v>
      </c>
      <c r="E57" s="1" t="s">
        <v>22</v>
      </c>
      <c r="F57" s="1" t="s">
        <v>58</v>
      </c>
      <c r="G57" s="1" t="s">
        <v>146</v>
      </c>
      <c r="H57" s="3">
        <v>8</v>
      </c>
      <c r="I57" s="11">
        <v>9999</v>
      </c>
      <c r="J57" s="10">
        <v>0.25</v>
      </c>
      <c r="K57" s="12">
        <v>59994</v>
      </c>
      <c r="L57" s="1" t="s">
        <v>25</v>
      </c>
    </row>
    <row r="58" spans="1:12" x14ac:dyDescent="0.2">
      <c r="A58" s="1" t="s">
        <v>147</v>
      </c>
      <c r="B58" s="2">
        <v>45188</v>
      </c>
      <c r="C58" s="1" t="s">
        <v>123</v>
      </c>
      <c r="D58" s="1" t="s">
        <v>64</v>
      </c>
      <c r="E58" s="1" t="s">
        <v>46</v>
      </c>
      <c r="F58" s="1" t="s">
        <v>37</v>
      </c>
      <c r="G58" s="1" t="s">
        <v>130</v>
      </c>
      <c r="H58" s="3">
        <v>9</v>
      </c>
      <c r="I58" s="11">
        <v>2499</v>
      </c>
      <c r="J58" s="10">
        <v>0</v>
      </c>
      <c r="K58" s="12">
        <v>22491</v>
      </c>
      <c r="L58" s="1" t="s">
        <v>25</v>
      </c>
    </row>
    <row r="59" spans="1:12" x14ac:dyDescent="0.2">
      <c r="A59" s="1" t="s">
        <v>148</v>
      </c>
      <c r="B59" s="2">
        <v>45271</v>
      </c>
      <c r="C59" s="1" t="s">
        <v>82</v>
      </c>
      <c r="D59" s="1" t="s">
        <v>45</v>
      </c>
      <c r="E59" s="1" t="s">
        <v>46</v>
      </c>
      <c r="F59" s="1" t="s">
        <v>28</v>
      </c>
      <c r="G59" s="1" t="s">
        <v>149</v>
      </c>
      <c r="H59" s="3">
        <v>1</v>
      </c>
      <c r="I59" s="11">
        <v>299</v>
      </c>
      <c r="J59" s="10">
        <v>0.05</v>
      </c>
      <c r="K59" s="12">
        <v>284.05</v>
      </c>
      <c r="L59" s="1" t="s">
        <v>30</v>
      </c>
    </row>
    <row r="60" spans="1:12" x14ac:dyDescent="0.2">
      <c r="A60" s="1" t="s">
        <v>150</v>
      </c>
      <c r="B60" s="2">
        <v>45239</v>
      </c>
      <c r="C60" s="1" t="s">
        <v>61</v>
      </c>
      <c r="D60" s="1" t="s">
        <v>42</v>
      </c>
      <c r="E60" s="1" t="s">
        <v>15</v>
      </c>
      <c r="F60" s="1" t="s">
        <v>23</v>
      </c>
      <c r="G60" s="1" t="s">
        <v>135</v>
      </c>
      <c r="H60" s="3">
        <v>10</v>
      </c>
      <c r="I60" s="11">
        <v>999</v>
      </c>
      <c r="J60" s="10">
        <v>0.25</v>
      </c>
      <c r="K60" s="12">
        <v>7492.5</v>
      </c>
      <c r="L60" s="1" t="s">
        <v>30</v>
      </c>
    </row>
    <row r="61" spans="1:12" x14ac:dyDescent="0.2">
      <c r="A61" s="1" t="s">
        <v>151</v>
      </c>
      <c r="B61" s="2">
        <v>45180</v>
      </c>
      <c r="C61" s="1" t="s">
        <v>49</v>
      </c>
      <c r="D61" s="1" t="s">
        <v>45</v>
      </c>
      <c r="E61" s="1" t="s">
        <v>46</v>
      </c>
      <c r="F61" s="1" t="s">
        <v>33</v>
      </c>
      <c r="G61" s="1" t="s">
        <v>34</v>
      </c>
      <c r="H61" s="3">
        <v>1</v>
      </c>
      <c r="I61" s="11">
        <v>499</v>
      </c>
      <c r="J61" s="10">
        <v>0.15</v>
      </c>
      <c r="K61" s="12">
        <v>424.15</v>
      </c>
      <c r="L61" s="1" t="s">
        <v>25</v>
      </c>
    </row>
    <row r="62" spans="1:12" x14ac:dyDescent="0.2">
      <c r="A62" s="1" t="s">
        <v>152</v>
      </c>
      <c r="B62" s="2">
        <v>45017</v>
      </c>
      <c r="C62" s="1" t="s">
        <v>88</v>
      </c>
      <c r="D62" s="1" t="s">
        <v>42</v>
      </c>
      <c r="E62" s="1" t="s">
        <v>15</v>
      </c>
      <c r="F62" s="1" t="s">
        <v>79</v>
      </c>
      <c r="G62" s="1" t="s">
        <v>80</v>
      </c>
      <c r="H62" s="3">
        <v>4</v>
      </c>
      <c r="I62" s="11">
        <v>499</v>
      </c>
      <c r="J62" s="10">
        <v>0.15</v>
      </c>
      <c r="K62" s="12">
        <v>1696.6</v>
      </c>
      <c r="L62" s="1" t="s">
        <v>25</v>
      </c>
    </row>
    <row r="63" spans="1:12" x14ac:dyDescent="0.2">
      <c r="A63" s="1" t="s">
        <v>153</v>
      </c>
      <c r="B63" s="2">
        <v>45164</v>
      </c>
      <c r="C63" s="1" t="s">
        <v>88</v>
      </c>
      <c r="D63" s="1" t="s">
        <v>70</v>
      </c>
      <c r="E63" s="1" t="s">
        <v>15</v>
      </c>
      <c r="F63" s="1" t="s">
        <v>58</v>
      </c>
      <c r="G63" s="1" t="s">
        <v>146</v>
      </c>
      <c r="H63" s="3">
        <v>10</v>
      </c>
      <c r="I63" s="11">
        <v>24999</v>
      </c>
      <c r="J63" s="10">
        <v>0.15</v>
      </c>
      <c r="K63" s="12">
        <v>212491.5</v>
      </c>
      <c r="L63" s="1" t="s">
        <v>39</v>
      </c>
    </row>
    <row r="64" spans="1:12" x14ac:dyDescent="0.2">
      <c r="A64" s="1" t="s">
        <v>154</v>
      </c>
      <c r="B64" s="2">
        <v>45155</v>
      </c>
      <c r="C64" s="1" t="s">
        <v>75</v>
      </c>
      <c r="D64" s="1" t="s">
        <v>42</v>
      </c>
      <c r="E64" s="1" t="s">
        <v>15</v>
      </c>
      <c r="F64" s="1" t="s">
        <v>52</v>
      </c>
      <c r="G64" s="1" t="s">
        <v>116</v>
      </c>
      <c r="H64" s="3">
        <v>4</v>
      </c>
      <c r="I64" s="11">
        <v>1499</v>
      </c>
      <c r="J64" s="10">
        <v>0.2</v>
      </c>
      <c r="K64" s="12">
        <v>4796.8</v>
      </c>
      <c r="L64" s="1" t="s">
        <v>30</v>
      </c>
    </row>
    <row r="65" spans="1:12" x14ac:dyDescent="0.2">
      <c r="A65" s="1" t="s">
        <v>155</v>
      </c>
      <c r="B65" s="2">
        <v>45247</v>
      </c>
      <c r="C65" s="1" t="s">
        <v>459</v>
      </c>
      <c r="D65" s="1" t="s">
        <v>50</v>
      </c>
      <c r="E65" s="1" t="s">
        <v>51</v>
      </c>
      <c r="F65" s="1" t="s">
        <v>52</v>
      </c>
      <c r="G65" s="1" t="s">
        <v>156</v>
      </c>
      <c r="H65" s="3">
        <v>5</v>
      </c>
      <c r="I65" s="11">
        <v>1299</v>
      </c>
      <c r="J65" s="10">
        <v>0.1</v>
      </c>
      <c r="K65" s="12">
        <v>5845.5</v>
      </c>
      <c r="L65" s="1" t="s">
        <v>54</v>
      </c>
    </row>
    <row r="66" spans="1:12" x14ac:dyDescent="0.2">
      <c r="A66" s="1" t="s">
        <v>157</v>
      </c>
      <c r="B66" s="2">
        <v>45090</v>
      </c>
      <c r="C66" s="1" t="s">
        <v>20</v>
      </c>
      <c r="D66" s="1" t="s">
        <v>21</v>
      </c>
      <c r="E66" s="1" t="s">
        <v>22</v>
      </c>
      <c r="F66" s="1" t="s">
        <v>33</v>
      </c>
      <c r="G66" s="1" t="s">
        <v>142</v>
      </c>
      <c r="H66" s="3">
        <v>4</v>
      </c>
      <c r="I66" s="11">
        <v>3999</v>
      </c>
      <c r="J66" s="10">
        <v>0.25</v>
      </c>
      <c r="K66" s="12">
        <v>11997</v>
      </c>
      <c r="L66" s="1" t="s">
        <v>25</v>
      </c>
    </row>
    <row r="67" spans="1:12" x14ac:dyDescent="0.2">
      <c r="A67" s="1" t="s">
        <v>158</v>
      </c>
      <c r="B67" s="2">
        <v>45288</v>
      </c>
      <c r="C67" s="1" t="s">
        <v>105</v>
      </c>
      <c r="D67" s="1" t="s">
        <v>21</v>
      </c>
      <c r="E67" s="1" t="s">
        <v>22</v>
      </c>
      <c r="F67" s="1" t="s">
        <v>23</v>
      </c>
      <c r="G67" s="1" t="s">
        <v>99</v>
      </c>
      <c r="H67" s="3">
        <v>6</v>
      </c>
      <c r="I67" s="11">
        <v>49999</v>
      </c>
      <c r="J67" s="10">
        <v>0.15</v>
      </c>
      <c r="K67" s="12">
        <v>254994.9</v>
      </c>
      <c r="L67" s="1" t="s">
        <v>30</v>
      </c>
    </row>
    <row r="68" spans="1:12" x14ac:dyDescent="0.2">
      <c r="A68" s="1" t="s">
        <v>159</v>
      </c>
      <c r="B68" s="2">
        <v>44958</v>
      </c>
      <c r="C68" s="1" t="s">
        <v>105</v>
      </c>
      <c r="D68" s="1" t="s">
        <v>66</v>
      </c>
      <c r="E68" s="1" t="s">
        <v>15</v>
      </c>
      <c r="F68" s="1" t="s">
        <v>23</v>
      </c>
      <c r="G68" s="1" t="s">
        <v>144</v>
      </c>
      <c r="H68" s="3">
        <v>1</v>
      </c>
      <c r="I68" s="11">
        <v>3999</v>
      </c>
      <c r="J68" s="10">
        <v>0.15</v>
      </c>
      <c r="K68" s="12">
        <v>3399.15</v>
      </c>
      <c r="L68" s="1" t="s">
        <v>18</v>
      </c>
    </row>
    <row r="69" spans="1:12" x14ac:dyDescent="0.2">
      <c r="A69" s="1" t="s">
        <v>160</v>
      </c>
      <c r="B69" s="2">
        <v>45107</v>
      </c>
      <c r="C69" s="1" t="s">
        <v>82</v>
      </c>
      <c r="D69" s="1" t="s">
        <v>66</v>
      </c>
      <c r="E69" s="1" t="s">
        <v>15</v>
      </c>
      <c r="F69" s="1" t="s">
        <v>23</v>
      </c>
      <c r="G69" s="1" t="s">
        <v>144</v>
      </c>
      <c r="H69" s="3">
        <v>9</v>
      </c>
      <c r="I69" s="11">
        <v>1299</v>
      </c>
      <c r="J69" s="10">
        <v>0.15</v>
      </c>
      <c r="K69" s="12">
        <v>9937.35</v>
      </c>
      <c r="L69" s="1" t="s">
        <v>25</v>
      </c>
    </row>
    <row r="70" spans="1:12" x14ac:dyDescent="0.2">
      <c r="A70" s="1" t="s">
        <v>161</v>
      </c>
      <c r="B70" s="2">
        <v>45066</v>
      </c>
      <c r="C70" s="1" t="s">
        <v>97</v>
      </c>
      <c r="D70" s="1" t="s">
        <v>42</v>
      </c>
      <c r="E70" s="1" t="s">
        <v>15</v>
      </c>
      <c r="F70" s="1" t="s">
        <v>79</v>
      </c>
      <c r="G70" s="1" t="s">
        <v>162</v>
      </c>
      <c r="H70" s="3">
        <v>6</v>
      </c>
      <c r="I70" s="11">
        <v>3999</v>
      </c>
      <c r="J70" s="10">
        <v>0.25</v>
      </c>
      <c r="K70" s="12">
        <v>17995.5</v>
      </c>
      <c r="L70" s="1" t="s">
        <v>25</v>
      </c>
    </row>
    <row r="71" spans="1:12" x14ac:dyDescent="0.2">
      <c r="A71" s="1" t="s">
        <v>163</v>
      </c>
      <c r="B71" s="2">
        <v>45166</v>
      </c>
      <c r="C71" s="1" t="s">
        <v>115</v>
      </c>
      <c r="D71" s="1" t="s">
        <v>111</v>
      </c>
      <c r="E71" s="1" t="s">
        <v>22</v>
      </c>
      <c r="F71" s="1" t="s">
        <v>79</v>
      </c>
      <c r="G71" s="1" t="s">
        <v>162</v>
      </c>
      <c r="H71" s="3">
        <v>10</v>
      </c>
      <c r="I71" s="11">
        <v>199</v>
      </c>
      <c r="J71" s="10">
        <v>0</v>
      </c>
      <c r="K71" s="12">
        <v>1990</v>
      </c>
      <c r="L71" s="1" t="s">
        <v>30</v>
      </c>
    </row>
    <row r="72" spans="1:12" x14ac:dyDescent="0.2">
      <c r="A72" s="1" t="s">
        <v>164</v>
      </c>
      <c r="B72" s="2">
        <v>44996</v>
      </c>
      <c r="C72" s="1" t="s">
        <v>69</v>
      </c>
      <c r="D72" s="1" t="s">
        <v>64</v>
      </c>
      <c r="E72" s="1" t="s">
        <v>46</v>
      </c>
      <c r="F72" s="1" t="s">
        <v>79</v>
      </c>
      <c r="G72" s="1" t="s">
        <v>165</v>
      </c>
      <c r="H72" s="3">
        <v>7</v>
      </c>
      <c r="I72" s="11">
        <v>2499</v>
      </c>
      <c r="J72" s="10">
        <v>0.05</v>
      </c>
      <c r="K72" s="12">
        <v>16618.349999999999</v>
      </c>
      <c r="L72" s="1" t="s">
        <v>30</v>
      </c>
    </row>
    <row r="73" spans="1:12" x14ac:dyDescent="0.2">
      <c r="A73" s="1" t="s">
        <v>166</v>
      </c>
      <c r="B73" s="2">
        <v>45094</v>
      </c>
      <c r="C73" s="1" t="s">
        <v>36</v>
      </c>
      <c r="D73" s="1" t="s">
        <v>66</v>
      </c>
      <c r="E73" s="1" t="s">
        <v>15</v>
      </c>
      <c r="F73" s="1" t="s">
        <v>16</v>
      </c>
      <c r="G73" s="1" t="s">
        <v>73</v>
      </c>
      <c r="H73" s="3">
        <v>5</v>
      </c>
      <c r="I73" s="11">
        <v>399</v>
      </c>
      <c r="J73" s="10">
        <v>0.15</v>
      </c>
      <c r="K73" s="12">
        <v>1695.75</v>
      </c>
      <c r="L73" s="1" t="s">
        <v>18</v>
      </c>
    </row>
    <row r="74" spans="1:12" x14ac:dyDescent="0.2">
      <c r="A74" s="1" t="s">
        <v>167</v>
      </c>
      <c r="B74" s="2">
        <v>45203</v>
      </c>
      <c r="C74" s="1" t="s">
        <v>41</v>
      </c>
      <c r="D74" s="1" t="s">
        <v>98</v>
      </c>
      <c r="E74" s="1" t="s">
        <v>46</v>
      </c>
      <c r="F74" s="1" t="s">
        <v>28</v>
      </c>
      <c r="G74" s="1" t="s">
        <v>29</v>
      </c>
      <c r="H74" s="3">
        <v>2</v>
      </c>
      <c r="I74" s="11">
        <v>299</v>
      </c>
      <c r="J74" s="10">
        <v>0</v>
      </c>
      <c r="K74" s="12">
        <v>598</v>
      </c>
      <c r="L74" s="1" t="s">
        <v>25</v>
      </c>
    </row>
    <row r="75" spans="1:12" x14ac:dyDescent="0.2">
      <c r="A75" s="1" t="s">
        <v>168</v>
      </c>
      <c r="B75" s="2">
        <v>45029</v>
      </c>
      <c r="C75" s="1" t="s">
        <v>126</v>
      </c>
      <c r="D75" s="1" t="s">
        <v>111</v>
      </c>
      <c r="E75" s="1" t="s">
        <v>22</v>
      </c>
      <c r="F75" s="1" t="s">
        <v>33</v>
      </c>
      <c r="G75" s="1" t="s">
        <v>142</v>
      </c>
      <c r="H75" s="3">
        <v>3</v>
      </c>
      <c r="I75" s="11">
        <v>14999</v>
      </c>
      <c r="J75" s="10">
        <v>0.25</v>
      </c>
      <c r="K75" s="12">
        <v>33747.75</v>
      </c>
      <c r="L75" s="1" t="s">
        <v>18</v>
      </c>
    </row>
    <row r="76" spans="1:12" x14ac:dyDescent="0.2">
      <c r="A76" s="1" t="s">
        <v>169</v>
      </c>
      <c r="B76" s="2">
        <v>45215</v>
      </c>
      <c r="C76" s="1" t="s">
        <v>105</v>
      </c>
      <c r="D76" s="1" t="s">
        <v>42</v>
      </c>
      <c r="E76" s="1" t="s">
        <v>15</v>
      </c>
      <c r="F76" s="1" t="s">
        <v>16</v>
      </c>
      <c r="G76" s="1" t="s">
        <v>170</v>
      </c>
      <c r="H76" s="3">
        <v>3</v>
      </c>
      <c r="I76" s="11">
        <v>499</v>
      </c>
      <c r="J76" s="10">
        <v>0.05</v>
      </c>
      <c r="K76" s="12">
        <v>1422.15</v>
      </c>
      <c r="L76" s="1" t="s">
        <v>54</v>
      </c>
    </row>
    <row r="77" spans="1:12" x14ac:dyDescent="0.2">
      <c r="A77" s="1" t="s">
        <v>171</v>
      </c>
      <c r="B77" s="2">
        <v>44982</v>
      </c>
      <c r="C77" s="1" t="s">
        <v>44</v>
      </c>
      <c r="D77" s="1" t="s">
        <v>14</v>
      </c>
      <c r="E77" s="1" t="s">
        <v>15</v>
      </c>
      <c r="F77" s="1" t="s">
        <v>16</v>
      </c>
      <c r="G77" s="1" t="s">
        <v>71</v>
      </c>
      <c r="H77" s="3">
        <v>7</v>
      </c>
      <c r="I77" s="11">
        <v>3999</v>
      </c>
      <c r="J77" s="10">
        <v>0.25</v>
      </c>
      <c r="K77" s="12">
        <v>20994.75</v>
      </c>
      <c r="L77" s="1" t="s">
        <v>25</v>
      </c>
    </row>
    <row r="78" spans="1:12" x14ac:dyDescent="0.2">
      <c r="A78" s="1" t="s">
        <v>172</v>
      </c>
      <c r="B78" s="2">
        <v>44965</v>
      </c>
      <c r="C78" s="1" t="s">
        <v>44</v>
      </c>
      <c r="D78" s="1" t="s">
        <v>45</v>
      </c>
      <c r="E78" s="1" t="s">
        <v>46</v>
      </c>
      <c r="F78" s="1" t="s">
        <v>37</v>
      </c>
      <c r="G78" s="1" t="s">
        <v>76</v>
      </c>
      <c r="H78" s="3">
        <v>5</v>
      </c>
      <c r="I78" s="11">
        <v>499</v>
      </c>
      <c r="J78" s="10">
        <v>0.2</v>
      </c>
      <c r="K78" s="12">
        <v>1996</v>
      </c>
      <c r="L78" s="1" t="s">
        <v>18</v>
      </c>
    </row>
    <row r="79" spans="1:12" x14ac:dyDescent="0.2">
      <c r="A79" s="1" t="s">
        <v>173</v>
      </c>
      <c r="B79" s="2">
        <v>45104</v>
      </c>
      <c r="C79" s="1" t="s">
        <v>20</v>
      </c>
      <c r="D79" s="1" t="s">
        <v>66</v>
      </c>
      <c r="E79" s="1" t="s">
        <v>15</v>
      </c>
      <c r="F79" s="1" t="s">
        <v>58</v>
      </c>
      <c r="G79" s="1" t="s">
        <v>59</v>
      </c>
      <c r="H79" s="3">
        <v>9</v>
      </c>
      <c r="I79" s="11">
        <v>2499</v>
      </c>
      <c r="J79" s="10">
        <v>0</v>
      </c>
      <c r="K79" s="12">
        <v>22491</v>
      </c>
      <c r="L79" s="1" t="s">
        <v>30</v>
      </c>
    </row>
    <row r="80" spans="1:12" x14ac:dyDescent="0.2">
      <c r="A80" s="1" t="s">
        <v>174</v>
      </c>
      <c r="B80" s="2">
        <v>45177</v>
      </c>
      <c r="C80" s="1" t="s">
        <v>13</v>
      </c>
      <c r="D80" s="1" t="s">
        <v>66</v>
      </c>
      <c r="E80" s="1" t="s">
        <v>15</v>
      </c>
      <c r="F80" s="1" t="s">
        <v>58</v>
      </c>
      <c r="G80" s="1" t="s">
        <v>175</v>
      </c>
      <c r="H80" s="3">
        <v>8</v>
      </c>
      <c r="I80" s="11">
        <v>599</v>
      </c>
      <c r="J80" s="10">
        <v>0.15</v>
      </c>
      <c r="K80" s="12">
        <v>4073.2</v>
      </c>
      <c r="L80" s="1" t="s">
        <v>25</v>
      </c>
    </row>
    <row r="81" spans="1:12" x14ac:dyDescent="0.2">
      <c r="A81" s="1" t="s">
        <v>176</v>
      </c>
      <c r="B81" s="2">
        <v>45194</v>
      </c>
      <c r="C81" s="1" t="s">
        <v>32</v>
      </c>
      <c r="D81" s="1" t="s">
        <v>111</v>
      </c>
      <c r="E81" s="1" t="s">
        <v>22</v>
      </c>
      <c r="F81" s="1" t="s">
        <v>52</v>
      </c>
      <c r="G81" s="1" t="s">
        <v>177</v>
      </c>
      <c r="H81" s="3">
        <v>7</v>
      </c>
      <c r="I81" s="11">
        <v>1499</v>
      </c>
      <c r="J81" s="10">
        <v>0.1</v>
      </c>
      <c r="K81" s="12">
        <v>9443.7000000000007</v>
      </c>
      <c r="L81" s="1" t="s">
        <v>25</v>
      </c>
    </row>
    <row r="82" spans="1:12" x14ac:dyDescent="0.2">
      <c r="A82" s="1" t="s">
        <v>178</v>
      </c>
      <c r="B82" s="2">
        <v>44971</v>
      </c>
      <c r="C82" s="1" t="s">
        <v>32</v>
      </c>
      <c r="D82" s="1" t="s">
        <v>42</v>
      </c>
      <c r="E82" s="1" t="s">
        <v>15</v>
      </c>
      <c r="F82" s="1" t="s">
        <v>28</v>
      </c>
      <c r="G82" s="1" t="s">
        <v>95</v>
      </c>
      <c r="H82" s="3">
        <v>10</v>
      </c>
      <c r="I82" s="11">
        <v>3999</v>
      </c>
      <c r="J82" s="10">
        <v>0.1</v>
      </c>
      <c r="K82" s="12">
        <v>35991</v>
      </c>
      <c r="L82" s="1" t="s">
        <v>18</v>
      </c>
    </row>
    <row r="83" spans="1:12" x14ac:dyDescent="0.2">
      <c r="A83" s="1" t="s">
        <v>179</v>
      </c>
      <c r="B83" s="2">
        <v>45180</v>
      </c>
      <c r="C83" s="1" t="s">
        <v>36</v>
      </c>
      <c r="D83" s="1" t="s">
        <v>64</v>
      </c>
      <c r="E83" s="1" t="s">
        <v>46</v>
      </c>
      <c r="F83" s="1" t="s">
        <v>52</v>
      </c>
      <c r="G83" s="1" t="s">
        <v>107</v>
      </c>
      <c r="H83" s="3">
        <v>6</v>
      </c>
      <c r="I83" s="11">
        <v>1499</v>
      </c>
      <c r="J83" s="10">
        <v>0.1</v>
      </c>
      <c r="K83" s="12">
        <v>8094.6</v>
      </c>
      <c r="L83" s="1" t="s">
        <v>54</v>
      </c>
    </row>
    <row r="84" spans="1:12" x14ac:dyDescent="0.2">
      <c r="A84" s="1" t="s">
        <v>180</v>
      </c>
      <c r="B84" s="2">
        <v>45232</v>
      </c>
      <c r="C84" s="1" t="s">
        <v>32</v>
      </c>
      <c r="D84" s="1" t="s">
        <v>70</v>
      </c>
      <c r="E84" s="1" t="s">
        <v>15</v>
      </c>
      <c r="F84" s="1" t="s">
        <v>79</v>
      </c>
      <c r="G84" s="1" t="s">
        <v>80</v>
      </c>
      <c r="H84" s="3">
        <v>4</v>
      </c>
      <c r="I84" s="11">
        <v>399</v>
      </c>
      <c r="J84" s="10">
        <v>0.05</v>
      </c>
      <c r="K84" s="12">
        <v>1516.2</v>
      </c>
      <c r="L84" s="1" t="s">
        <v>30</v>
      </c>
    </row>
    <row r="85" spans="1:12" x14ac:dyDescent="0.2">
      <c r="A85" s="1" t="s">
        <v>181</v>
      </c>
      <c r="B85" s="2">
        <v>45177</v>
      </c>
      <c r="C85" s="1" t="s">
        <v>20</v>
      </c>
      <c r="D85" s="1" t="s">
        <v>45</v>
      </c>
      <c r="E85" s="1" t="s">
        <v>46</v>
      </c>
      <c r="F85" s="1" t="s">
        <v>52</v>
      </c>
      <c r="G85" s="1" t="s">
        <v>53</v>
      </c>
      <c r="H85" s="3">
        <v>8</v>
      </c>
      <c r="I85" s="11">
        <v>9999</v>
      </c>
      <c r="J85" s="10">
        <v>0</v>
      </c>
      <c r="K85" s="12">
        <v>79992</v>
      </c>
      <c r="L85" s="1" t="s">
        <v>18</v>
      </c>
    </row>
    <row r="86" spans="1:12" x14ac:dyDescent="0.2">
      <c r="A86" s="1" t="s">
        <v>182</v>
      </c>
      <c r="B86" s="2">
        <v>45077</v>
      </c>
      <c r="C86" s="1" t="s">
        <v>183</v>
      </c>
      <c r="D86" s="1" t="s">
        <v>66</v>
      </c>
      <c r="E86" s="1" t="s">
        <v>15</v>
      </c>
      <c r="F86" s="1" t="s">
        <v>28</v>
      </c>
      <c r="G86" s="1" t="s">
        <v>93</v>
      </c>
      <c r="H86" s="3">
        <v>10</v>
      </c>
      <c r="I86" s="11">
        <v>2999</v>
      </c>
      <c r="J86" s="10">
        <v>0.15</v>
      </c>
      <c r="K86" s="12">
        <v>25491.5</v>
      </c>
      <c r="L86" s="1" t="s">
        <v>39</v>
      </c>
    </row>
    <row r="87" spans="1:12" x14ac:dyDescent="0.2">
      <c r="A87" s="1" t="s">
        <v>184</v>
      </c>
      <c r="B87" s="2">
        <v>45198</v>
      </c>
      <c r="C87" s="1" t="s">
        <v>78</v>
      </c>
      <c r="D87" s="1" t="s">
        <v>66</v>
      </c>
      <c r="E87" s="1" t="s">
        <v>15</v>
      </c>
      <c r="F87" s="1" t="s">
        <v>58</v>
      </c>
      <c r="G87" s="1" t="s">
        <v>113</v>
      </c>
      <c r="H87" s="3">
        <v>8</v>
      </c>
      <c r="I87" s="11">
        <v>1499</v>
      </c>
      <c r="J87" s="10">
        <v>0.1</v>
      </c>
      <c r="K87" s="12">
        <v>10792.8</v>
      </c>
      <c r="L87" s="1" t="s">
        <v>54</v>
      </c>
    </row>
    <row r="88" spans="1:12" x14ac:dyDescent="0.2">
      <c r="A88" s="1" t="s">
        <v>185</v>
      </c>
      <c r="B88" s="2">
        <v>45045</v>
      </c>
      <c r="C88" s="1" t="s">
        <v>13</v>
      </c>
      <c r="D88" s="1" t="s">
        <v>45</v>
      </c>
      <c r="E88" s="1" t="s">
        <v>46</v>
      </c>
      <c r="F88" s="1" t="s">
        <v>58</v>
      </c>
      <c r="G88" s="1" t="s">
        <v>59</v>
      </c>
      <c r="H88" s="3">
        <v>9</v>
      </c>
      <c r="I88" s="11">
        <v>799</v>
      </c>
      <c r="J88" s="10">
        <v>0.05</v>
      </c>
      <c r="K88" s="12">
        <v>6831.45</v>
      </c>
      <c r="L88" s="1" t="s">
        <v>25</v>
      </c>
    </row>
    <row r="89" spans="1:12" x14ac:dyDescent="0.2">
      <c r="A89" s="1" t="s">
        <v>186</v>
      </c>
      <c r="B89" s="2">
        <v>45174</v>
      </c>
      <c r="C89" s="1" t="s">
        <v>32</v>
      </c>
      <c r="D89" s="1" t="s">
        <v>111</v>
      </c>
      <c r="E89" s="1" t="s">
        <v>22</v>
      </c>
      <c r="F89" s="1" t="s">
        <v>16</v>
      </c>
      <c r="G89" s="1" t="s">
        <v>137</v>
      </c>
      <c r="H89" s="3">
        <v>4</v>
      </c>
      <c r="I89" s="11">
        <v>1999</v>
      </c>
      <c r="J89" s="10">
        <v>0.05</v>
      </c>
      <c r="K89" s="12">
        <v>7596.2</v>
      </c>
      <c r="L89" s="1" t="s">
        <v>54</v>
      </c>
    </row>
    <row r="90" spans="1:12" x14ac:dyDescent="0.2">
      <c r="A90" s="1" t="s">
        <v>187</v>
      </c>
      <c r="B90" s="2">
        <v>45018</v>
      </c>
      <c r="C90" s="1" t="s">
        <v>82</v>
      </c>
      <c r="D90" s="1" t="s">
        <v>14</v>
      </c>
      <c r="E90" s="1" t="s">
        <v>15</v>
      </c>
      <c r="F90" s="1" t="s">
        <v>33</v>
      </c>
      <c r="G90" s="1" t="s">
        <v>188</v>
      </c>
      <c r="H90" s="3">
        <v>1</v>
      </c>
      <c r="I90" s="11">
        <v>299</v>
      </c>
      <c r="J90" s="10">
        <v>0.2</v>
      </c>
      <c r="K90" s="12">
        <v>239.2</v>
      </c>
      <c r="L90" s="1" t="s">
        <v>54</v>
      </c>
    </row>
    <row r="91" spans="1:12" x14ac:dyDescent="0.2">
      <c r="A91" s="1" t="s">
        <v>189</v>
      </c>
      <c r="B91" s="2">
        <v>45284</v>
      </c>
      <c r="C91" s="1" t="s">
        <v>115</v>
      </c>
      <c r="D91" s="1" t="s">
        <v>42</v>
      </c>
      <c r="E91" s="1" t="s">
        <v>15</v>
      </c>
      <c r="F91" s="1" t="s">
        <v>37</v>
      </c>
      <c r="G91" s="1" t="s">
        <v>47</v>
      </c>
      <c r="H91" s="3">
        <v>10</v>
      </c>
      <c r="I91" s="11">
        <v>1999</v>
      </c>
      <c r="J91" s="10">
        <v>0.15</v>
      </c>
      <c r="K91" s="12">
        <v>16991.5</v>
      </c>
      <c r="L91" s="1" t="s">
        <v>30</v>
      </c>
    </row>
    <row r="92" spans="1:12" x14ac:dyDescent="0.2">
      <c r="A92" s="1" t="s">
        <v>190</v>
      </c>
      <c r="B92" s="2">
        <v>45152</v>
      </c>
      <c r="C92" s="1" t="s">
        <v>36</v>
      </c>
      <c r="D92" s="1" t="s">
        <v>64</v>
      </c>
      <c r="E92" s="1" t="s">
        <v>46</v>
      </c>
      <c r="F92" s="1" t="s">
        <v>79</v>
      </c>
      <c r="G92" s="1" t="s">
        <v>165</v>
      </c>
      <c r="H92" s="3">
        <v>8</v>
      </c>
      <c r="I92" s="11">
        <v>499</v>
      </c>
      <c r="J92" s="10">
        <v>0</v>
      </c>
      <c r="K92" s="12">
        <v>3992</v>
      </c>
      <c r="L92" s="1" t="s">
        <v>30</v>
      </c>
    </row>
    <row r="93" spans="1:12" x14ac:dyDescent="0.2">
      <c r="A93" s="1" t="s">
        <v>191</v>
      </c>
      <c r="B93" s="2">
        <v>45178</v>
      </c>
      <c r="C93" s="1" t="s">
        <v>61</v>
      </c>
      <c r="D93" s="1" t="s">
        <v>111</v>
      </c>
      <c r="E93" s="1" t="s">
        <v>22</v>
      </c>
      <c r="F93" s="1" t="s">
        <v>79</v>
      </c>
      <c r="G93" s="1" t="s">
        <v>83</v>
      </c>
      <c r="H93" s="3">
        <v>3</v>
      </c>
      <c r="I93" s="11">
        <v>1999</v>
      </c>
      <c r="J93" s="10">
        <v>0</v>
      </c>
      <c r="K93" s="12">
        <v>5997</v>
      </c>
      <c r="L93" s="1" t="s">
        <v>25</v>
      </c>
    </row>
    <row r="94" spans="1:12" x14ac:dyDescent="0.2">
      <c r="A94" s="1" t="s">
        <v>192</v>
      </c>
      <c r="B94" s="2">
        <v>44987</v>
      </c>
      <c r="C94" s="1" t="s">
        <v>20</v>
      </c>
      <c r="D94" s="1" t="s">
        <v>66</v>
      </c>
      <c r="E94" s="1" t="s">
        <v>15</v>
      </c>
      <c r="F94" s="1" t="s">
        <v>28</v>
      </c>
      <c r="G94" s="1" t="s">
        <v>86</v>
      </c>
      <c r="H94" s="3">
        <v>7</v>
      </c>
      <c r="I94" s="11">
        <v>9999</v>
      </c>
      <c r="J94" s="10">
        <v>0.15</v>
      </c>
      <c r="K94" s="12">
        <v>59494.05</v>
      </c>
      <c r="L94" s="1" t="s">
        <v>54</v>
      </c>
    </row>
    <row r="95" spans="1:12" x14ac:dyDescent="0.2">
      <c r="A95" s="1" t="s">
        <v>193</v>
      </c>
      <c r="B95" s="2">
        <v>45228</v>
      </c>
      <c r="C95" s="1" t="s">
        <v>97</v>
      </c>
      <c r="D95" s="1" t="s">
        <v>50</v>
      </c>
      <c r="E95" s="1" t="s">
        <v>51</v>
      </c>
      <c r="F95" s="1" t="s">
        <v>79</v>
      </c>
      <c r="G95" s="1" t="s">
        <v>80</v>
      </c>
      <c r="H95" s="3">
        <v>2</v>
      </c>
      <c r="I95" s="11">
        <v>999</v>
      </c>
      <c r="J95" s="10">
        <v>0.25</v>
      </c>
      <c r="K95" s="12">
        <v>1498.5</v>
      </c>
      <c r="L95" s="1" t="s">
        <v>25</v>
      </c>
    </row>
    <row r="96" spans="1:12" x14ac:dyDescent="0.2">
      <c r="A96" s="1" t="s">
        <v>194</v>
      </c>
      <c r="B96" s="2">
        <v>45062</v>
      </c>
      <c r="C96" s="1" t="s">
        <v>61</v>
      </c>
      <c r="D96" s="1" t="s">
        <v>64</v>
      </c>
      <c r="E96" s="1" t="s">
        <v>46</v>
      </c>
      <c r="F96" s="1" t="s">
        <v>28</v>
      </c>
      <c r="G96" s="1" t="s">
        <v>149</v>
      </c>
      <c r="H96" s="3">
        <v>9</v>
      </c>
      <c r="I96" s="11">
        <v>399</v>
      </c>
      <c r="J96" s="10">
        <v>0.05</v>
      </c>
      <c r="K96" s="12">
        <v>3411.45</v>
      </c>
      <c r="L96" s="1" t="s">
        <v>18</v>
      </c>
    </row>
    <row r="97" spans="1:12" x14ac:dyDescent="0.2">
      <c r="A97" s="1" t="s">
        <v>195</v>
      </c>
      <c r="B97" s="2">
        <v>45136</v>
      </c>
      <c r="C97" s="1" t="s">
        <v>69</v>
      </c>
      <c r="D97" s="1" t="s">
        <v>111</v>
      </c>
      <c r="E97" s="1" t="s">
        <v>22</v>
      </c>
      <c r="F97" s="1" t="s">
        <v>52</v>
      </c>
      <c r="G97" s="1" t="s">
        <v>116</v>
      </c>
      <c r="H97" s="3">
        <v>1</v>
      </c>
      <c r="I97" s="11">
        <v>1299</v>
      </c>
      <c r="J97" s="10">
        <v>0.1</v>
      </c>
      <c r="K97" s="12">
        <v>1169.0999999999999</v>
      </c>
      <c r="L97" s="1" t="s">
        <v>54</v>
      </c>
    </row>
    <row r="98" spans="1:12" x14ac:dyDescent="0.2">
      <c r="A98" s="1" t="s">
        <v>196</v>
      </c>
      <c r="B98" s="2">
        <v>45286</v>
      </c>
      <c r="C98" s="1" t="s">
        <v>69</v>
      </c>
      <c r="D98" s="1" t="s">
        <v>21</v>
      </c>
      <c r="E98" s="1" t="s">
        <v>22</v>
      </c>
      <c r="F98" s="1" t="s">
        <v>28</v>
      </c>
      <c r="G98" s="1" t="s">
        <v>93</v>
      </c>
      <c r="H98" s="3">
        <v>10</v>
      </c>
      <c r="I98" s="11">
        <v>999</v>
      </c>
      <c r="J98" s="10">
        <v>0.15</v>
      </c>
      <c r="K98" s="12">
        <v>8491.5</v>
      </c>
      <c r="L98" s="1" t="s">
        <v>18</v>
      </c>
    </row>
    <row r="99" spans="1:12" x14ac:dyDescent="0.2">
      <c r="A99" s="1" t="s">
        <v>197</v>
      </c>
      <c r="B99" s="2">
        <v>45205</v>
      </c>
      <c r="C99" s="1" t="s">
        <v>183</v>
      </c>
      <c r="D99" s="1" t="s">
        <v>64</v>
      </c>
      <c r="E99" s="1" t="s">
        <v>46</v>
      </c>
      <c r="F99" s="1" t="s">
        <v>16</v>
      </c>
      <c r="G99" s="1" t="s">
        <v>17</v>
      </c>
      <c r="H99" s="3">
        <v>2</v>
      </c>
      <c r="I99" s="11">
        <v>299</v>
      </c>
      <c r="J99" s="10">
        <v>0.05</v>
      </c>
      <c r="K99" s="12">
        <v>568.1</v>
      </c>
      <c r="L99" s="1" t="s">
        <v>54</v>
      </c>
    </row>
    <row r="100" spans="1:12" x14ac:dyDescent="0.2">
      <c r="A100" s="1" t="s">
        <v>198</v>
      </c>
      <c r="B100" s="2">
        <v>45231</v>
      </c>
      <c r="C100" s="1" t="s">
        <v>44</v>
      </c>
      <c r="D100" s="1" t="s">
        <v>50</v>
      </c>
      <c r="E100" s="1" t="s">
        <v>51</v>
      </c>
      <c r="F100" s="1" t="s">
        <v>52</v>
      </c>
      <c r="G100" s="1" t="s">
        <v>156</v>
      </c>
      <c r="H100" s="3">
        <v>8</v>
      </c>
      <c r="I100" s="11">
        <v>1999</v>
      </c>
      <c r="J100" s="10">
        <v>0.25</v>
      </c>
      <c r="K100" s="12">
        <v>11994</v>
      </c>
      <c r="L100" s="1" t="s">
        <v>30</v>
      </c>
    </row>
    <row r="101" spans="1:12" x14ac:dyDescent="0.2">
      <c r="A101" s="1" t="s">
        <v>199</v>
      </c>
      <c r="B101" s="2">
        <v>45066</v>
      </c>
      <c r="C101" s="1" t="s">
        <v>88</v>
      </c>
      <c r="D101" s="1" t="s">
        <v>70</v>
      </c>
      <c r="E101" s="1" t="s">
        <v>15</v>
      </c>
      <c r="F101" s="1" t="s">
        <v>52</v>
      </c>
      <c r="G101" s="1" t="s">
        <v>177</v>
      </c>
      <c r="H101" s="3">
        <v>2</v>
      </c>
      <c r="I101" s="11">
        <v>299</v>
      </c>
      <c r="J101" s="10">
        <v>0.15</v>
      </c>
      <c r="K101" s="12">
        <v>508.3</v>
      </c>
      <c r="L101" s="1" t="s">
        <v>54</v>
      </c>
    </row>
    <row r="102" spans="1:12" x14ac:dyDescent="0.2">
      <c r="A102" s="1" t="s">
        <v>200</v>
      </c>
      <c r="B102" s="2">
        <v>45236</v>
      </c>
      <c r="C102" s="1" t="s">
        <v>32</v>
      </c>
      <c r="D102" s="1" t="s">
        <v>14</v>
      </c>
      <c r="E102" s="1" t="s">
        <v>15</v>
      </c>
      <c r="F102" s="1" t="s">
        <v>37</v>
      </c>
      <c r="G102" s="1" t="s">
        <v>89</v>
      </c>
      <c r="H102" s="3">
        <v>10</v>
      </c>
      <c r="I102" s="11">
        <v>199</v>
      </c>
      <c r="J102" s="10">
        <v>0.25</v>
      </c>
      <c r="K102" s="12">
        <v>1492.5</v>
      </c>
      <c r="L102" s="1" t="s">
        <v>54</v>
      </c>
    </row>
    <row r="103" spans="1:12" x14ac:dyDescent="0.2">
      <c r="A103" s="1" t="s">
        <v>201</v>
      </c>
      <c r="B103" s="2">
        <v>45222</v>
      </c>
      <c r="C103" s="1" t="s">
        <v>41</v>
      </c>
      <c r="D103" s="1" t="s">
        <v>64</v>
      </c>
      <c r="E103" s="1" t="s">
        <v>46</v>
      </c>
      <c r="F103" s="1" t="s">
        <v>52</v>
      </c>
      <c r="G103" s="1" t="s">
        <v>202</v>
      </c>
      <c r="H103" s="3">
        <v>8</v>
      </c>
      <c r="I103" s="11">
        <v>1499</v>
      </c>
      <c r="J103" s="10">
        <v>0.05</v>
      </c>
      <c r="K103" s="12">
        <v>11392.4</v>
      </c>
      <c r="L103" s="1" t="s">
        <v>39</v>
      </c>
    </row>
    <row r="104" spans="1:12" x14ac:dyDescent="0.2">
      <c r="A104" s="1" t="s">
        <v>203</v>
      </c>
      <c r="B104" s="2">
        <v>45150</v>
      </c>
      <c r="C104" s="1" t="s">
        <v>123</v>
      </c>
      <c r="D104" s="1" t="s">
        <v>21</v>
      </c>
      <c r="E104" s="1" t="s">
        <v>22</v>
      </c>
      <c r="F104" s="1" t="s">
        <v>52</v>
      </c>
      <c r="G104" s="1" t="s">
        <v>116</v>
      </c>
      <c r="H104" s="3">
        <v>7</v>
      </c>
      <c r="I104" s="11">
        <v>2499</v>
      </c>
      <c r="J104" s="10">
        <v>0.1</v>
      </c>
      <c r="K104" s="12">
        <v>15743.7</v>
      </c>
      <c r="L104" s="1" t="s">
        <v>18</v>
      </c>
    </row>
    <row r="105" spans="1:12" x14ac:dyDescent="0.2">
      <c r="A105" s="1" t="s">
        <v>204</v>
      </c>
      <c r="B105" s="2">
        <v>45009</v>
      </c>
      <c r="C105" s="1" t="s">
        <v>36</v>
      </c>
      <c r="D105" s="1" t="s">
        <v>66</v>
      </c>
      <c r="E105" s="1" t="s">
        <v>15</v>
      </c>
      <c r="F105" s="1" t="s">
        <v>52</v>
      </c>
      <c r="G105" s="1" t="s">
        <v>116</v>
      </c>
      <c r="H105" s="3">
        <v>7</v>
      </c>
      <c r="I105" s="11">
        <v>49999</v>
      </c>
      <c r="J105" s="10">
        <v>0</v>
      </c>
      <c r="K105" s="12">
        <v>349993</v>
      </c>
      <c r="L105" s="1" t="s">
        <v>30</v>
      </c>
    </row>
    <row r="106" spans="1:12" x14ac:dyDescent="0.2">
      <c r="A106" s="1" t="s">
        <v>205</v>
      </c>
      <c r="B106" s="2">
        <v>44972</v>
      </c>
      <c r="C106" s="1" t="s">
        <v>36</v>
      </c>
      <c r="D106" s="1" t="s">
        <v>50</v>
      </c>
      <c r="E106" s="1" t="s">
        <v>51</v>
      </c>
      <c r="F106" s="1" t="s">
        <v>58</v>
      </c>
      <c r="G106" s="1" t="s">
        <v>59</v>
      </c>
      <c r="H106" s="3">
        <v>7</v>
      </c>
      <c r="I106" s="11">
        <v>24999</v>
      </c>
      <c r="J106" s="10">
        <v>0</v>
      </c>
      <c r="K106" s="12">
        <v>174993</v>
      </c>
      <c r="L106" s="1" t="s">
        <v>39</v>
      </c>
    </row>
    <row r="107" spans="1:12" x14ac:dyDescent="0.2">
      <c r="A107" s="1" t="s">
        <v>206</v>
      </c>
      <c r="B107" s="2">
        <v>45163</v>
      </c>
      <c r="C107" s="1" t="s">
        <v>97</v>
      </c>
      <c r="D107" s="1" t="s">
        <v>14</v>
      </c>
      <c r="E107" s="1" t="s">
        <v>15</v>
      </c>
      <c r="F107" s="1" t="s">
        <v>28</v>
      </c>
      <c r="G107" s="1" t="s">
        <v>86</v>
      </c>
      <c r="H107" s="3">
        <v>6</v>
      </c>
      <c r="I107" s="11">
        <v>14999</v>
      </c>
      <c r="J107" s="10">
        <v>0.25</v>
      </c>
      <c r="K107" s="12">
        <v>67495.5</v>
      </c>
      <c r="L107" s="1" t="s">
        <v>30</v>
      </c>
    </row>
    <row r="108" spans="1:12" x14ac:dyDescent="0.2">
      <c r="A108" s="1" t="s">
        <v>207</v>
      </c>
      <c r="B108" s="2">
        <v>44953</v>
      </c>
      <c r="C108" s="1" t="s">
        <v>105</v>
      </c>
      <c r="D108" s="1" t="s">
        <v>50</v>
      </c>
      <c r="E108" s="1" t="s">
        <v>51</v>
      </c>
      <c r="F108" s="1" t="s">
        <v>33</v>
      </c>
      <c r="G108" s="1" t="s">
        <v>188</v>
      </c>
      <c r="H108" s="3">
        <v>8</v>
      </c>
      <c r="I108" s="11">
        <v>14999</v>
      </c>
      <c r="J108" s="10">
        <v>0</v>
      </c>
      <c r="K108" s="12">
        <v>119992</v>
      </c>
      <c r="L108" s="1" t="s">
        <v>18</v>
      </c>
    </row>
    <row r="109" spans="1:12" x14ac:dyDescent="0.2">
      <c r="A109" s="1" t="s">
        <v>208</v>
      </c>
      <c r="B109" s="2">
        <v>45249</v>
      </c>
      <c r="C109" s="1" t="s">
        <v>27</v>
      </c>
      <c r="D109" s="1" t="s">
        <v>45</v>
      </c>
      <c r="E109" s="1" t="s">
        <v>46</v>
      </c>
      <c r="F109" s="1" t="s">
        <v>33</v>
      </c>
      <c r="G109" s="1" t="s">
        <v>188</v>
      </c>
      <c r="H109" s="3">
        <v>9</v>
      </c>
      <c r="I109" s="11">
        <v>199</v>
      </c>
      <c r="J109" s="10">
        <v>0.2</v>
      </c>
      <c r="K109" s="12">
        <v>1432.8</v>
      </c>
      <c r="L109" s="1" t="s">
        <v>30</v>
      </c>
    </row>
    <row r="110" spans="1:12" x14ac:dyDescent="0.2">
      <c r="A110" s="1" t="s">
        <v>209</v>
      </c>
      <c r="B110" s="2">
        <v>44974</v>
      </c>
      <c r="C110" s="1" t="s">
        <v>183</v>
      </c>
      <c r="D110" s="1" t="s">
        <v>21</v>
      </c>
      <c r="E110" s="1" t="s">
        <v>22</v>
      </c>
      <c r="F110" s="1" t="s">
        <v>52</v>
      </c>
      <c r="G110" s="1" t="s">
        <v>156</v>
      </c>
      <c r="H110" s="3">
        <v>3</v>
      </c>
      <c r="I110" s="11">
        <v>14999</v>
      </c>
      <c r="J110" s="10">
        <v>0.25</v>
      </c>
      <c r="K110" s="12">
        <v>33747.75</v>
      </c>
      <c r="L110" s="1" t="s">
        <v>54</v>
      </c>
    </row>
    <row r="111" spans="1:12" x14ac:dyDescent="0.2">
      <c r="A111" s="1" t="s">
        <v>210</v>
      </c>
      <c r="B111" s="2">
        <v>45187</v>
      </c>
      <c r="C111" s="1" t="s">
        <v>457</v>
      </c>
      <c r="D111" s="1" t="s">
        <v>66</v>
      </c>
      <c r="E111" s="1" t="s">
        <v>15</v>
      </c>
      <c r="F111" s="1" t="s">
        <v>52</v>
      </c>
      <c r="G111" s="1" t="s">
        <v>177</v>
      </c>
      <c r="H111" s="3">
        <v>4</v>
      </c>
      <c r="I111" s="11">
        <v>9999</v>
      </c>
      <c r="J111" s="10">
        <v>0.2</v>
      </c>
      <c r="K111" s="12">
        <v>31996.799999999999</v>
      </c>
      <c r="L111" s="1" t="s">
        <v>25</v>
      </c>
    </row>
    <row r="112" spans="1:12" x14ac:dyDescent="0.2">
      <c r="A112" s="1" t="s">
        <v>211</v>
      </c>
      <c r="B112" s="2">
        <v>45123</v>
      </c>
      <c r="C112" s="1" t="s">
        <v>105</v>
      </c>
      <c r="D112" s="1" t="s">
        <v>111</v>
      </c>
      <c r="E112" s="1" t="s">
        <v>22</v>
      </c>
      <c r="F112" s="1" t="s">
        <v>33</v>
      </c>
      <c r="G112" s="1" t="s">
        <v>212</v>
      </c>
      <c r="H112" s="3">
        <v>5</v>
      </c>
      <c r="I112" s="11">
        <v>4999</v>
      </c>
      <c r="J112" s="10">
        <v>0.1</v>
      </c>
      <c r="K112" s="12">
        <v>22495.5</v>
      </c>
      <c r="L112" s="1" t="s">
        <v>39</v>
      </c>
    </row>
    <row r="113" spans="1:12" x14ac:dyDescent="0.2">
      <c r="A113" s="1" t="s">
        <v>213</v>
      </c>
      <c r="B113" s="2">
        <v>45063</v>
      </c>
      <c r="C113" s="1" t="s">
        <v>126</v>
      </c>
      <c r="D113" s="1" t="s">
        <v>50</v>
      </c>
      <c r="E113" s="1" t="s">
        <v>51</v>
      </c>
      <c r="F113" s="1" t="s">
        <v>16</v>
      </c>
      <c r="G113" s="1" t="s">
        <v>71</v>
      </c>
      <c r="H113" s="3">
        <v>10</v>
      </c>
      <c r="I113" s="11">
        <v>14999</v>
      </c>
      <c r="J113" s="10">
        <v>0.05</v>
      </c>
      <c r="K113" s="12">
        <v>142490.5</v>
      </c>
      <c r="L113" s="1" t="s">
        <v>30</v>
      </c>
    </row>
    <row r="114" spans="1:12" x14ac:dyDescent="0.2">
      <c r="A114" s="1" t="s">
        <v>214</v>
      </c>
      <c r="B114" s="2">
        <v>45202</v>
      </c>
      <c r="C114" s="1" t="s">
        <v>123</v>
      </c>
      <c r="D114" s="1" t="s">
        <v>98</v>
      </c>
      <c r="E114" s="1" t="s">
        <v>46</v>
      </c>
      <c r="F114" s="1" t="s">
        <v>58</v>
      </c>
      <c r="G114" s="1" t="s">
        <v>215</v>
      </c>
      <c r="H114" s="3">
        <v>9</v>
      </c>
      <c r="I114" s="11">
        <v>3999</v>
      </c>
      <c r="J114" s="10">
        <v>0.15</v>
      </c>
      <c r="K114" s="12">
        <v>30592.35</v>
      </c>
      <c r="L114" s="1" t="s">
        <v>54</v>
      </c>
    </row>
    <row r="115" spans="1:12" x14ac:dyDescent="0.2">
      <c r="A115" s="1" t="s">
        <v>216</v>
      </c>
      <c r="B115" s="2">
        <v>45023</v>
      </c>
      <c r="C115" s="1" t="s">
        <v>183</v>
      </c>
      <c r="D115" s="1" t="s">
        <v>111</v>
      </c>
      <c r="E115" s="1" t="s">
        <v>22</v>
      </c>
      <c r="F115" s="1" t="s">
        <v>23</v>
      </c>
      <c r="G115" s="1" t="s">
        <v>128</v>
      </c>
      <c r="H115" s="3">
        <v>7</v>
      </c>
      <c r="I115" s="11">
        <v>299</v>
      </c>
      <c r="J115" s="10">
        <v>0.1</v>
      </c>
      <c r="K115" s="12">
        <v>1883.7</v>
      </c>
      <c r="L115" s="1" t="s">
        <v>30</v>
      </c>
    </row>
    <row r="116" spans="1:12" x14ac:dyDescent="0.2">
      <c r="A116" s="1" t="s">
        <v>217</v>
      </c>
      <c r="B116" s="2">
        <v>45288</v>
      </c>
      <c r="C116" s="1" t="s">
        <v>49</v>
      </c>
      <c r="D116" s="1" t="s">
        <v>66</v>
      </c>
      <c r="E116" s="1" t="s">
        <v>15</v>
      </c>
      <c r="F116" s="1" t="s">
        <v>33</v>
      </c>
      <c r="G116" s="1" t="s">
        <v>119</v>
      </c>
      <c r="H116" s="3">
        <v>1</v>
      </c>
      <c r="I116" s="11">
        <v>599</v>
      </c>
      <c r="J116" s="10">
        <v>0.2</v>
      </c>
      <c r="K116" s="12">
        <v>479.2</v>
      </c>
      <c r="L116" s="1" t="s">
        <v>39</v>
      </c>
    </row>
    <row r="117" spans="1:12" x14ac:dyDescent="0.2">
      <c r="A117" s="1" t="s">
        <v>218</v>
      </c>
      <c r="B117" s="2">
        <v>45096</v>
      </c>
      <c r="C117" s="1" t="s">
        <v>13</v>
      </c>
      <c r="D117" s="1" t="s">
        <v>42</v>
      </c>
      <c r="E117" s="1" t="s">
        <v>15</v>
      </c>
      <c r="F117" s="1" t="s">
        <v>37</v>
      </c>
      <c r="G117" s="1" t="s">
        <v>219</v>
      </c>
      <c r="H117" s="3">
        <v>8</v>
      </c>
      <c r="I117" s="11">
        <v>199</v>
      </c>
      <c r="J117" s="10">
        <v>0.25</v>
      </c>
      <c r="K117" s="12">
        <v>1194</v>
      </c>
      <c r="L117" s="1" t="s">
        <v>25</v>
      </c>
    </row>
    <row r="118" spans="1:12" x14ac:dyDescent="0.2">
      <c r="A118" s="1" t="s">
        <v>220</v>
      </c>
      <c r="B118" s="2">
        <v>45136</v>
      </c>
      <c r="C118" s="1" t="s">
        <v>115</v>
      </c>
      <c r="D118" s="1" t="s">
        <v>21</v>
      </c>
      <c r="E118" s="1" t="s">
        <v>22</v>
      </c>
      <c r="F118" s="1" t="s">
        <v>52</v>
      </c>
      <c r="G118" s="1" t="s">
        <v>116</v>
      </c>
      <c r="H118" s="3">
        <v>6</v>
      </c>
      <c r="I118" s="11">
        <v>3999</v>
      </c>
      <c r="J118" s="10">
        <v>0.25</v>
      </c>
      <c r="K118" s="12">
        <v>17995.5</v>
      </c>
      <c r="L118" s="1" t="s">
        <v>18</v>
      </c>
    </row>
    <row r="119" spans="1:12" x14ac:dyDescent="0.2">
      <c r="A119" s="1" t="s">
        <v>221</v>
      </c>
      <c r="B119" s="2">
        <v>45095</v>
      </c>
      <c r="C119" s="1" t="s">
        <v>20</v>
      </c>
      <c r="D119" s="1" t="s">
        <v>66</v>
      </c>
      <c r="E119" s="1" t="s">
        <v>15</v>
      </c>
      <c r="F119" s="1" t="s">
        <v>58</v>
      </c>
      <c r="G119" s="1" t="s">
        <v>175</v>
      </c>
      <c r="H119" s="3">
        <v>8</v>
      </c>
      <c r="I119" s="11">
        <v>49999</v>
      </c>
      <c r="J119" s="10">
        <v>0</v>
      </c>
      <c r="K119" s="12">
        <v>399992</v>
      </c>
      <c r="L119" s="1" t="s">
        <v>39</v>
      </c>
    </row>
    <row r="120" spans="1:12" x14ac:dyDescent="0.2">
      <c r="A120" s="1" t="s">
        <v>222</v>
      </c>
      <c r="B120" s="2">
        <v>44962</v>
      </c>
      <c r="C120" s="1" t="s">
        <v>183</v>
      </c>
      <c r="D120" s="1" t="s">
        <v>50</v>
      </c>
      <c r="E120" s="1" t="s">
        <v>51</v>
      </c>
      <c r="F120" s="1" t="s">
        <v>28</v>
      </c>
      <c r="G120" s="1" t="s">
        <v>29</v>
      </c>
      <c r="H120" s="3">
        <v>2</v>
      </c>
      <c r="I120" s="11">
        <v>4999</v>
      </c>
      <c r="J120" s="10">
        <v>0</v>
      </c>
      <c r="K120" s="12">
        <v>9998</v>
      </c>
      <c r="L120" s="1" t="s">
        <v>18</v>
      </c>
    </row>
    <row r="121" spans="1:12" x14ac:dyDescent="0.2">
      <c r="A121" s="1" t="s">
        <v>223</v>
      </c>
      <c r="B121" s="2">
        <v>45154</v>
      </c>
      <c r="C121" s="1" t="s">
        <v>75</v>
      </c>
      <c r="D121" s="1" t="s">
        <v>50</v>
      </c>
      <c r="E121" s="1" t="s">
        <v>51</v>
      </c>
      <c r="F121" s="1" t="s">
        <v>79</v>
      </c>
      <c r="G121" s="1" t="s">
        <v>103</v>
      </c>
      <c r="H121" s="3">
        <v>6</v>
      </c>
      <c r="I121" s="11">
        <v>299</v>
      </c>
      <c r="J121" s="10">
        <v>0.1</v>
      </c>
      <c r="K121" s="12">
        <v>1614.6</v>
      </c>
      <c r="L121" s="1" t="s">
        <v>54</v>
      </c>
    </row>
    <row r="122" spans="1:12" x14ac:dyDescent="0.2">
      <c r="A122" s="1" t="s">
        <v>224</v>
      </c>
      <c r="B122" s="2">
        <v>45118</v>
      </c>
      <c r="C122" s="1" t="s">
        <v>97</v>
      </c>
      <c r="D122" s="1" t="s">
        <v>64</v>
      </c>
      <c r="E122" s="1" t="s">
        <v>46</v>
      </c>
      <c r="F122" s="1" t="s">
        <v>28</v>
      </c>
      <c r="G122" s="1" t="s">
        <v>86</v>
      </c>
      <c r="H122" s="3">
        <v>7</v>
      </c>
      <c r="I122" s="11">
        <v>799</v>
      </c>
      <c r="J122" s="10">
        <v>0.05</v>
      </c>
      <c r="K122" s="12">
        <v>5313.35</v>
      </c>
      <c r="L122" s="1" t="s">
        <v>25</v>
      </c>
    </row>
    <row r="123" spans="1:12" x14ac:dyDescent="0.2">
      <c r="A123" s="1" t="s">
        <v>225</v>
      </c>
      <c r="B123" s="2">
        <v>44967</v>
      </c>
      <c r="C123" s="1" t="s">
        <v>27</v>
      </c>
      <c r="D123" s="1" t="s">
        <v>66</v>
      </c>
      <c r="E123" s="1" t="s">
        <v>15</v>
      </c>
      <c r="F123" s="1" t="s">
        <v>28</v>
      </c>
      <c r="G123" s="1" t="s">
        <v>95</v>
      </c>
      <c r="H123" s="3">
        <v>10</v>
      </c>
      <c r="I123" s="11">
        <v>599</v>
      </c>
      <c r="J123" s="10">
        <v>0.05</v>
      </c>
      <c r="K123" s="12">
        <v>5690.5</v>
      </c>
      <c r="L123" s="1" t="s">
        <v>30</v>
      </c>
    </row>
    <row r="124" spans="1:12" x14ac:dyDescent="0.2">
      <c r="A124" s="1" t="s">
        <v>226</v>
      </c>
      <c r="B124" s="2">
        <v>45253</v>
      </c>
      <c r="C124" s="1" t="s">
        <v>32</v>
      </c>
      <c r="D124" s="1" t="s">
        <v>42</v>
      </c>
      <c r="E124" s="1" t="s">
        <v>15</v>
      </c>
      <c r="F124" s="1" t="s">
        <v>16</v>
      </c>
      <c r="G124" s="1" t="s">
        <v>227</v>
      </c>
      <c r="H124" s="3">
        <v>1</v>
      </c>
      <c r="I124" s="11">
        <v>9999</v>
      </c>
      <c r="J124" s="10">
        <v>0.1</v>
      </c>
      <c r="K124" s="12">
        <v>8999.1</v>
      </c>
      <c r="L124" s="1" t="s">
        <v>39</v>
      </c>
    </row>
    <row r="125" spans="1:12" x14ac:dyDescent="0.2">
      <c r="A125" s="1" t="s">
        <v>228</v>
      </c>
      <c r="B125" s="2">
        <v>45007</v>
      </c>
      <c r="C125" s="1" t="s">
        <v>458</v>
      </c>
      <c r="D125" s="1" t="s">
        <v>42</v>
      </c>
      <c r="E125" s="1" t="s">
        <v>15</v>
      </c>
      <c r="F125" s="1" t="s">
        <v>58</v>
      </c>
      <c r="G125" s="1" t="s">
        <v>215</v>
      </c>
      <c r="H125" s="3">
        <v>5</v>
      </c>
      <c r="I125" s="11">
        <v>4999</v>
      </c>
      <c r="J125" s="10">
        <v>0.25</v>
      </c>
      <c r="K125" s="12">
        <v>18746.25</v>
      </c>
      <c r="L125" s="1" t="s">
        <v>54</v>
      </c>
    </row>
    <row r="126" spans="1:12" x14ac:dyDescent="0.2">
      <c r="A126" s="1" t="s">
        <v>229</v>
      </c>
      <c r="B126" s="2">
        <v>45160</v>
      </c>
      <c r="C126" s="1" t="s">
        <v>82</v>
      </c>
      <c r="D126" s="1" t="s">
        <v>45</v>
      </c>
      <c r="E126" s="1" t="s">
        <v>46</v>
      </c>
      <c r="F126" s="1" t="s">
        <v>23</v>
      </c>
      <c r="G126" s="1" t="s">
        <v>99</v>
      </c>
      <c r="H126" s="3">
        <v>2</v>
      </c>
      <c r="I126" s="11">
        <v>1299</v>
      </c>
      <c r="J126" s="10">
        <v>0.15</v>
      </c>
      <c r="K126" s="12">
        <v>2208.3000000000002</v>
      </c>
      <c r="L126" s="1" t="s">
        <v>39</v>
      </c>
    </row>
    <row r="127" spans="1:12" x14ac:dyDescent="0.2">
      <c r="A127" s="1" t="s">
        <v>230</v>
      </c>
      <c r="B127" s="2">
        <v>45110</v>
      </c>
      <c r="C127" s="1" t="s">
        <v>44</v>
      </c>
      <c r="D127" s="1" t="s">
        <v>50</v>
      </c>
      <c r="E127" s="1" t="s">
        <v>51</v>
      </c>
      <c r="F127" s="1" t="s">
        <v>16</v>
      </c>
      <c r="G127" s="1" t="s">
        <v>137</v>
      </c>
      <c r="H127" s="3">
        <v>7</v>
      </c>
      <c r="I127" s="11">
        <v>1499</v>
      </c>
      <c r="J127" s="10">
        <v>0</v>
      </c>
      <c r="K127" s="12">
        <v>10493</v>
      </c>
      <c r="L127" s="1" t="s">
        <v>39</v>
      </c>
    </row>
    <row r="128" spans="1:12" x14ac:dyDescent="0.2">
      <c r="A128" s="1" t="s">
        <v>231</v>
      </c>
      <c r="B128" s="2">
        <v>45278</v>
      </c>
      <c r="C128" s="1" t="s">
        <v>41</v>
      </c>
      <c r="D128" s="1" t="s">
        <v>111</v>
      </c>
      <c r="E128" s="1" t="s">
        <v>22</v>
      </c>
      <c r="F128" s="1" t="s">
        <v>52</v>
      </c>
      <c r="G128" s="1" t="s">
        <v>116</v>
      </c>
      <c r="H128" s="3">
        <v>4</v>
      </c>
      <c r="I128" s="11">
        <v>2999</v>
      </c>
      <c r="J128" s="10">
        <v>0.05</v>
      </c>
      <c r="K128" s="12">
        <v>11396.2</v>
      </c>
      <c r="L128" s="1" t="s">
        <v>25</v>
      </c>
    </row>
    <row r="129" spans="1:12" x14ac:dyDescent="0.2">
      <c r="A129" s="1" t="s">
        <v>232</v>
      </c>
      <c r="B129" s="2">
        <v>45244</v>
      </c>
      <c r="C129" s="1" t="s">
        <v>32</v>
      </c>
      <c r="D129" s="1" t="s">
        <v>64</v>
      </c>
      <c r="E129" s="1" t="s">
        <v>46</v>
      </c>
      <c r="F129" s="1" t="s">
        <v>37</v>
      </c>
      <c r="G129" s="1" t="s">
        <v>76</v>
      </c>
      <c r="H129" s="3">
        <v>1</v>
      </c>
      <c r="I129" s="11">
        <v>1999</v>
      </c>
      <c r="J129" s="10">
        <v>0.15</v>
      </c>
      <c r="K129" s="12">
        <v>1699.15</v>
      </c>
      <c r="L129" s="1" t="s">
        <v>18</v>
      </c>
    </row>
    <row r="130" spans="1:12" x14ac:dyDescent="0.2">
      <c r="A130" s="1" t="s">
        <v>233</v>
      </c>
      <c r="B130" s="2">
        <v>45223</v>
      </c>
      <c r="C130" s="1" t="s">
        <v>78</v>
      </c>
      <c r="D130" s="1" t="s">
        <v>64</v>
      </c>
      <c r="E130" s="1" t="s">
        <v>46</v>
      </c>
      <c r="F130" s="1" t="s">
        <v>37</v>
      </c>
      <c r="G130" s="1" t="s">
        <v>130</v>
      </c>
      <c r="H130" s="3">
        <v>6</v>
      </c>
      <c r="I130" s="11">
        <v>4999</v>
      </c>
      <c r="J130" s="10">
        <v>0.05</v>
      </c>
      <c r="K130" s="12">
        <v>28494.3</v>
      </c>
      <c r="L130" s="1" t="s">
        <v>25</v>
      </c>
    </row>
    <row r="131" spans="1:12" x14ac:dyDescent="0.2">
      <c r="A131" s="1" t="s">
        <v>234</v>
      </c>
      <c r="B131" s="2">
        <v>44994</v>
      </c>
      <c r="C131" s="1" t="s">
        <v>20</v>
      </c>
      <c r="D131" s="1" t="s">
        <v>98</v>
      </c>
      <c r="E131" s="1" t="s">
        <v>46</v>
      </c>
      <c r="F131" s="1" t="s">
        <v>16</v>
      </c>
      <c r="G131" s="1" t="s">
        <v>17</v>
      </c>
      <c r="H131" s="3">
        <v>5</v>
      </c>
      <c r="I131" s="11">
        <v>14999</v>
      </c>
      <c r="J131" s="10">
        <v>0.1</v>
      </c>
      <c r="K131" s="12">
        <v>67495.5</v>
      </c>
      <c r="L131" s="1" t="s">
        <v>54</v>
      </c>
    </row>
    <row r="132" spans="1:12" x14ac:dyDescent="0.2">
      <c r="A132" s="1" t="s">
        <v>235</v>
      </c>
      <c r="B132" s="2">
        <v>44985</v>
      </c>
      <c r="C132" s="1" t="s">
        <v>69</v>
      </c>
      <c r="D132" s="1" t="s">
        <v>21</v>
      </c>
      <c r="E132" s="1" t="s">
        <v>22</v>
      </c>
      <c r="F132" s="1" t="s">
        <v>33</v>
      </c>
      <c r="G132" s="1" t="s">
        <v>142</v>
      </c>
      <c r="H132" s="3">
        <v>7</v>
      </c>
      <c r="I132" s="11">
        <v>49999</v>
      </c>
      <c r="J132" s="10">
        <v>0.1</v>
      </c>
      <c r="K132" s="12">
        <v>314993.7</v>
      </c>
      <c r="L132" s="1" t="s">
        <v>18</v>
      </c>
    </row>
    <row r="133" spans="1:12" x14ac:dyDescent="0.2">
      <c r="A133" s="1" t="s">
        <v>236</v>
      </c>
      <c r="B133" s="2">
        <v>45129</v>
      </c>
      <c r="C133" s="1" t="s">
        <v>126</v>
      </c>
      <c r="D133" s="1" t="s">
        <v>50</v>
      </c>
      <c r="E133" s="1" t="s">
        <v>51</v>
      </c>
      <c r="F133" s="1" t="s">
        <v>37</v>
      </c>
      <c r="G133" s="1" t="s">
        <v>38</v>
      </c>
      <c r="H133" s="3">
        <v>6</v>
      </c>
      <c r="I133" s="11">
        <v>1499</v>
      </c>
      <c r="J133" s="10">
        <v>0.2</v>
      </c>
      <c r="K133" s="12">
        <v>7195.2</v>
      </c>
      <c r="L133" s="1" t="s">
        <v>30</v>
      </c>
    </row>
    <row r="134" spans="1:12" x14ac:dyDescent="0.2">
      <c r="A134" s="1" t="s">
        <v>237</v>
      </c>
      <c r="B134" s="2">
        <v>45253</v>
      </c>
      <c r="C134" s="1" t="s">
        <v>78</v>
      </c>
      <c r="D134" s="1" t="s">
        <v>21</v>
      </c>
      <c r="E134" s="1" t="s">
        <v>22</v>
      </c>
      <c r="F134" s="1" t="s">
        <v>28</v>
      </c>
      <c r="G134" s="1" t="s">
        <v>95</v>
      </c>
      <c r="H134" s="3">
        <v>1</v>
      </c>
      <c r="I134" s="11">
        <v>49999</v>
      </c>
      <c r="J134" s="10">
        <v>0.1</v>
      </c>
      <c r="K134" s="12">
        <v>44999.1</v>
      </c>
      <c r="L134" s="1" t="s">
        <v>39</v>
      </c>
    </row>
    <row r="135" spans="1:12" x14ac:dyDescent="0.2">
      <c r="A135" s="1" t="s">
        <v>238</v>
      </c>
      <c r="B135" s="2">
        <v>45040</v>
      </c>
      <c r="C135" s="1" t="s">
        <v>61</v>
      </c>
      <c r="D135" s="1" t="s">
        <v>42</v>
      </c>
      <c r="E135" s="1" t="s">
        <v>15</v>
      </c>
      <c r="F135" s="1" t="s">
        <v>16</v>
      </c>
      <c r="G135" s="1" t="s">
        <v>227</v>
      </c>
      <c r="H135" s="3">
        <v>7</v>
      </c>
      <c r="I135" s="11">
        <v>499</v>
      </c>
      <c r="J135" s="10">
        <v>0.05</v>
      </c>
      <c r="K135" s="12">
        <v>3318.35</v>
      </c>
      <c r="L135" s="1" t="s">
        <v>18</v>
      </c>
    </row>
    <row r="136" spans="1:12" x14ac:dyDescent="0.2">
      <c r="A136" s="1" t="s">
        <v>239</v>
      </c>
      <c r="B136" s="2">
        <v>44946</v>
      </c>
      <c r="C136" s="1" t="s">
        <v>82</v>
      </c>
      <c r="D136" s="1" t="s">
        <v>42</v>
      </c>
      <c r="E136" s="1" t="s">
        <v>15</v>
      </c>
      <c r="F136" s="1" t="s">
        <v>37</v>
      </c>
      <c r="G136" s="1" t="s">
        <v>47</v>
      </c>
      <c r="H136" s="3">
        <v>4</v>
      </c>
      <c r="I136" s="11">
        <v>49999</v>
      </c>
      <c r="J136" s="10">
        <v>0.05</v>
      </c>
      <c r="K136" s="12">
        <v>189996.2</v>
      </c>
      <c r="L136" s="1" t="s">
        <v>30</v>
      </c>
    </row>
    <row r="137" spans="1:12" x14ac:dyDescent="0.2">
      <c r="A137" s="1" t="s">
        <v>240</v>
      </c>
      <c r="B137" s="2">
        <v>45159</v>
      </c>
      <c r="C137" s="1" t="s">
        <v>78</v>
      </c>
      <c r="D137" s="1" t="s">
        <v>70</v>
      </c>
      <c r="E137" s="1" t="s">
        <v>15</v>
      </c>
      <c r="F137" s="1" t="s">
        <v>23</v>
      </c>
      <c r="G137" s="1" t="s">
        <v>144</v>
      </c>
      <c r="H137" s="3">
        <v>3</v>
      </c>
      <c r="I137" s="11">
        <v>4999</v>
      </c>
      <c r="J137" s="10">
        <v>0.25</v>
      </c>
      <c r="K137" s="12">
        <v>11247.75</v>
      </c>
      <c r="L137" s="1" t="s">
        <v>18</v>
      </c>
    </row>
    <row r="138" spans="1:12" x14ac:dyDescent="0.2">
      <c r="A138" s="1" t="s">
        <v>241</v>
      </c>
      <c r="B138" s="2">
        <v>45177</v>
      </c>
      <c r="C138" s="1" t="s">
        <v>27</v>
      </c>
      <c r="D138" s="1" t="s">
        <v>66</v>
      </c>
      <c r="E138" s="1" t="s">
        <v>15</v>
      </c>
      <c r="F138" s="1" t="s">
        <v>16</v>
      </c>
      <c r="G138" s="1" t="s">
        <v>137</v>
      </c>
      <c r="H138" s="3">
        <v>6</v>
      </c>
      <c r="I138" s="11">
        <v>999</v>
      </c>
      <c r="J138" s="10">
        <v>0.15</v>
      </c>
      <c r="K138" s="12">
        <v>5094.8999999999996</v>
      </c>
      <c r="L138" s="1" t="s">
        <v>30</v>
      </c>
    </row>
    <row r="139" spans="1:12" x14ac:dyDescent="0.2">
      <c r="A139" s="1" t="s">
        <v>242</v>
      </c>
      <c r="B139" s="2">
        <v>45047</v>
      </c>
      <c r="C139" s="1" t="s">
        <v>78</v>
      </c>
      <c r="D139" s="1" t="s">
        <v>21</v>
      </c>
      <c r="E139" s="1" t="s">
        <v>22</v>
      </c>
      <c r="F139" s="1" t="s">
        <v>58</v>
      </c>
      <c r="G139" s="1" t="s">
        <v>215</v>
      </c>
      <c r="H139" s="3">
        <v>6</v>
      </c>
      <c r="I139" s="11">
        <v>299</v>
      </c>
      <c r="J139" s="10">
        <v>0.15</v>
      </c>
      <c r="K139" s="12">
        <v>1524.9</v>
      </c>
      <c r="L139" s="1" t="s">
        <v>54</v>
      </c>
    </row>
    <row r="140" spans="1:12" x14ac:dyDescent="0.2">
      <c r="A140" s="1" t="s">
        <v>243</v>
      </c>
      <c r="B140" s="2">
        <v>45024</v>
      </c>
      <c r="C140" s="1" t="s">
        <v>13</v>
      </c>
      <c r="D140" s="1" t="s">
        <v>42</v>
      </c>
      <c r="E140" s="1" t="s">
        <v>15</v>
      </c>
      <c r="F140" s="1" t="s">
        <v>37</v>
      </c>
      <c r="G140" s="1" t="s">
        <v>76</v>
      </c>
      <c r="H140" s="3">
        <v>4</v>
      </c>
      <c r="I140" s="11">
        <v>199</v>
      </c>
      <c r="J140" s="10">
        <v>0</v>
      </c>
      <c r="K140" s="12">
        <v>796</v>
      </c>
      <c r="L140" s="1" t="s">
        <v>54</v>
      </c>
    </row>
    <row r="141" spans="1:12" x14ac:dyDescent="0.2">
      <c r="A141" s="1" t="s">
        <v>244</v>
      </c>
      <c r="B141" s="2">
        <v>45051</v>
      </c>
      <c r="C141" s="1" t="s">
        <v>115</v>
      </c>
      <c r="D141" s="1" t="s">
        <v>111</v>
      </c>
      <c r="E141" s="1" t="s">
        <v>22</v>
      </c>
      <c r="F141" s="1" t="s">
        <v>28</v>
      </c>
      <c r="G141" s="1" t="s">
        <v>91</v>
      </c>
      <c r="H141" s="3">
        <v>9</v>
      </c>
      <c r="I141" s="11">
        <v>999</v>
      </c>
      <c r="J141" s="10">
        <v>0.2</v>
      </c>
      <c r="K141" s="12">
        <v>7192.8</v>
      </c>
      <c r="L141" s="1" t="s">
        <v>25</v>
      </c>
    </row>
    <row r="142" spans="1:12" x14ac:dyDescent="0.2">
      <c r="A142" s="1" t="s">
        <v>245</v>
      </c>
      <c r="B142" s="2">
        <v>45046</v>
      </c>
      <c r="C142" s="1" t="s">
        <v>36</v>
      </c>
      <c r="D142" s="1" t="s">
        <v>64</v>
      </c>
      <c r="E142" s="1" t="s">
        <v>46</v>
      </c>
      <c r="F142" s="1" t="s">
        <v>79</v>
      </c>
      <c r="G142" s="1" t="s">
        <v>165</v>
      </c>
      <c r="H142" s="3">
        <v>3</v>
      </c>
      <c r="I142" s="11">
        <v>599</v>
      </c>
      <c r="J142" s="10">
        <v>0.2</v>
      </c>
      <c r="K142" s="12">
        <v>1437.6</v>
      </c>
      <c r="L142" s="1" t="s">
        <v>54</v>
      </c>
    </row>
    <row r="143" spans="1:12" x14ac:dyDescent="0.2">
      <c r="A143" s="1" t="s">
        <v>246</v>
      </c>
      <c r="B143" s="2">
        <v>45016</v>
      </c>
      <c r="C143" s="1" t="s">
        <v>13</v>
      </c>
      <c r="D143" s="1" t="s">
        <v>14</v>
      </c>
      <c r="E143" s="1" t="s">
        <v>15</v>
      </c>
      <c r="F143" s="1" t="s">
        <v>33</v>
      </c>
      <c r="G143" s="1" t="s">
        <v>212</v>
      </c>
      <c r="H143" s="3">
        <v>6</v>
      </c>
      <c r="I143" s="11">
        <v>1299</v>
      </c>
      <c r="J143" s="10">
        <v>0.2</v>
      </c>
      <c r="K143" s="12">
        <v>6235.2</v>
      </c>
      <c r="L143" s="1" t="s">
        <v>54</v>
      </c>
    </row>
    <row r="144" spans="1:12" x14ac:dyDescent="0.2">
      <c r="A144" s="1" t="s">
        <v>247</v>
      </c>
      <c r="B144" s="2">
        <v>44935</v>
      </c>
      <c r="C144" s="1" t="s">
        <v>75</v>
      </c>
      <c r="D144" s="1" t="s">
        <v>50</v>
      </c>
      <c r="E144" s="1" t="s">
        <v>51</v>
      </c>
      <c r="F144" s="1" t="s">
        <v>79</v>
      </c>
      <c r="G144" s="1" t="s">
        <v>83</v>
      </c>
      <c r="H144" s="3">
        <v>7</v>
      </c>
      <c r="I144" s="11">
        <v>24999</v>
      </c>
      <c r="J144" s="10">
        <v>0</v>
      </c>
      <c r="K144" s="12">
        <v>174993</v>
      </c>
      <c r="L144" s="1" t="s">
        <v>18</v>
      </c>
    </row>
    <row r="145" spans="1:12" x14ac:dyDescent="0.2">
      <c r="A145" s="1" t="s">
        <v>248</v>
      </c>
      <c r="B145" s="2">
        <v>45170</v>
      </c>
      <c r="C145" s="1" t="s">
        <v>69</v>
      </c>
      <c r="D145" s="1" t="s">
        <v>98</v>
      </c>
      <c r="E145" s="1" t="s">
        <v>46</v>
      </c>
      <c r="F145" s="1" t="s">
        <v>37</v>
      </c>
      <c r="G145" s="1" t="s">
        <v>38</v>
      </c>
      <c r="H145" s="3">
        <v>9</v>
      </c>
      <c r="I145" s="11">
        <v>1299</v>
      </c>
      <c r="J145" s="10">
        <v>0.2</v>
      </c>
      <c r="K145" s="12">
        <v>9352.7999999999993</v>
      </c>
      <c r="L145" s="1" t="s">
        <v>18</v>
      </c>
    </row>
    <row r="146" spans="1:12" x14ac:dyDescent="0.2">
      <c r="A146" s="1" t="s">
        <v>249</v>
      </c>
      <c r="B146" s="2">
        <v>45264</v>
      </c>
      <c r="C146" s="1" t="s">
        <v>88</v>
      </c>
      <c r="D146" s="1" t="s">
        <v>50</v>
      </c>
      <c r="E146" s="1" t="s">
        <v>51</v>
      </c>
      <c r="F146" s="1" t="s">
        <v>52</v>
      </c>
      <c r="G146" s="1" t="s">
        <v>53</v>
      </c>
      <c r="H146" s="3">
        <v>1</v>
      </c>
      <c r="I146" s="11">
        <v>299</v>
      </c>
      <c r="J146" s="10">
        <v>0.15</v>
      </c>
      <c r="K146" s="12">
        <v>254.15</v>
      </c>
      <c r="L146" s="1" t="s">
        <v>30</v>
      </c>
    </row>
    <row r="147" spans="1:12" x14ac:dyDescent="0.2">
      <c r="A147" s="1" t="s">
        <v>250</v>
      </c>
      <c r="B147" s="2">
        <v>45145</v>
      </c>
      <c r="C147" s="1" t="s">
        <v>13</v>
      </c>
      <c r="D147" s="1" t="s">
        <v>42</v>
      </c>
      <c r="E147" s="1" t="s">
        <v>15</v>
      </c>
      <c r="F147" s="1" t="s">
        <v>52</v>
      </c>
      <c r="G147" s="1" t="s">
        <v>156</v>
      </c>
      <c r="H147" s="3">
        <v>2</v>
      </c>
      <c r="I147" s="11">
        <v>2499</v>
      </c>
      <c r="J147" s="10">
        <v>0.2</v>
      </c>
      <c r="K147" s="12">
        <v>3998.4</v>
      </c>
      <c r="L147" s="1" t="s">
        <v>25</v>
      </c>
    </row>
    <row r="148" spans="1:12" x14ac:dyDescent="0.2">
      <c r="A148" s="1" t="s">
        <v>251</v>
      </c>
      <c r="B148" s="2">
        <v>44960</v>
      </c>
      <c r="C148" s="1" t="s">
        <v>115</v>
      </c>
      <c r="D148" s="1" t="s">
        <v>50</v>
      </c>
      <c r="E148" s="1" t="s">
        <v>51</v>
      </c>
      <c r="F148" s="1" t="s">
        <v>58</v>
      </c>
      <c r="G148" s="1" t="s">
        <v>146</v>
      </c>
      <c r="H148" s="3">
        <v>10</v>
      </c>
      <c r="I148" s="11">
        <v>24999</v>
      </c>
      <c r="J148" s="10">
        <v>0.1</v>
      </c>
      <c r="K148" s="12">
        <v>224991</v>
      </c>
      <c r="L148" s="1" t="s">
        <v>30</v>
      </c>
    </row>
    <row r="149" spans="1:12" x14ac:dyDescent="0.2">
      <c r="A149" s="1" t="s">
        <v>252</v>
      </c>
      <c r="B149" s="2">
        <v>45185</v>
      </c>
      <c r="C149" s="1" t="s">
        <v>27</v>
      </c>
      <c r="D149" s="1" t="s">
        <v>66</v>
      </c>
      <c r="E149" s="1" t="s">
        <v>15</v>
      </c>
      <c r="F149" s="1" t="s">
        <v>37</v>
      </c>
      <c r="G149" s="1" t="s">
        <v>76</v>
      </c>
      <c r="H149" s="3">
        <v>2</v>
      </c>
      <c r="I149" s="11">
        <v>49999</v>
      </c>
      <c r="J149" s="10">
        <v>0.25</v>
      </c>
      <c r="K149" s="12">
        <v>74998.5</v>
      </c>
      <c r="L149" s="1" t="s">
        <v>25</v>
      </c>
    </row>
    <row r="150" spans="1:12" x14ac:dyDescent="0.2">
      <c r="A150" s="1" t="s">
        <v>253</v>
      </c>
      <c r="B150" s="2">
        <v>45147</v>
      </c>
      <c r="C150" s="1" t="s">
        <v>69</v>
      </c>
      <c r="D150" s="1" t="s">
        <v>45</v>
      </c>
      <c r="E150" s="1" t="s">
        <v>46</v>
      </c>
      <c r="F150" s="1" t="s">
        <v>23</v>
      </c>
      <c r="G150" s="1" t="s">
        <v>254</v>
      </c>
      <c r="H150" s="3">
        <v>8</v>
      </c>
      <c r="I150" s="11">
        <v>3999</v>
      </c>
      <c r="J150" s="10">
        <v>0.15</v>
      </c>
      <c r="K150" s="12">
        <v>27193.200000000001</v>
      </c>
      <c r="L150" s="1" t="s">
        <v>18</v>
      </c>
    </row>
    <row r="151" spans="1:12" x14ac:dyDescent="0.2">
      <c r="A151" s="1" t="s">
        <v>255</v>
      </c>
      <c r="B151" s="2">
        <v>45087</v>
      </c>
      <c r="C151" s="1" t="s">
        <v>97</v>
      </c>
      <c r="D151" s="1" t="s">
        <v>98</v>
      </c>
      <c r="E151" s="1" t="s">
        <v>46</v>
      </c>
      <c r="F151" s="1" t="s">
        <v>16</v>
      </c>
      <c r="G151" s="1" t="s">
        <v>170</v>
      </c>
      <c r="H151" s="3">
        <v>3</v>
      </c>
      <c r="I151" s="11">
        <v>14999</v>
      </c>
      <c r="J151" s="10">
        <v>0</v>
      </c>
      <c r="K151" s="12">
        <v>44997</v>
      </c>
      <c r="L151" s="1" t="s">
        <v>18</v>
      </c>
    </row>
    <row r="152" spans="1:12" x14ac:dyDescent="0.2">
      <c r="A152" s="1" t="s">
        <v>256</v>
      </c>
      <c r="B152" s="2">
        <v>44970</v>
      </c>
      <c r="C152" s="1" t="s">
        <v>61</v>
      </c>
      <c r="D152" s="1" t="s">
        <v>66</v>
      </c>
      <c r="E152" s="1" t="s">
        <v>15</v>
      </c>
      <c r="F152" s="1" t="s">
        <v>37</v>
      </c>
      <c r="G152" s="1" t="s">
        <v>76</v>
      </c>
      <c r="H152" s="3">
        <v>6</v>
      </c>
      <c r="I152" s="11">
        <v>599</v>
      </c>
      <c r="J152" s="10">
        <v>0.2</v>
      </c>
      <c r="K152" s="12">
        <v>2875.2</v>
      </c>
      <c r="L152" s="1" t="s">
        <v>18</v>
      </c>
    </row>
    <row r="153" spans="1:12" x14ac:dyDescent="0.2">
      <c r="A153" s="1" t="s">
        <v>257</v>
      </c>
      <c r="B153" s="2">
        <v>45227</v>
      </c>
      <c r="C153" s="1" t="s">
        <v>20</v>
      </c>
      <c r="D153" s="1" t="s">
        <v>70</v>
      </c>
      <c r="E153" s="1" t="s">
        <v>15</v>
      </c>
      <c r="F153" s="1" t="s">
        <v>58</v>
      </c>
      <c r="G153" s="1" t="s">
        <v>175</v>
      </c>
      <c r="H153" s="3">
        <v>2</v>
      </c>
      <c r="I153" s="11">
        <v>4999</v>
      </c>
      <c r="J153" s="10">
        <v>0.1</v>
      </c>
      <c r="K153" s="12">
        <v>8998.2000000000007</v>
      </c>
      <c r="L153" s="1" t="s">
        <v>30</v>
      </c>
    </row>
    <row r="154" spans="1:12" x14ac:dyDescent="0.2">
      <c r="A154" s="1" t="s">
        <v>258</v>
      </c>
      <c r="B154" s="2">
        <v>44953</v>
      </c>
      <c r="C154" s="1" t="s">
        <v>82</v>
      </c>
      <c r="D154" s="1" t="s">
        <v>111</v>
      </c>
      <c r="E154" s="1" t="s">
        <v>22</v>
      </c>
      <c r="F154" s="1" t="s">
        <v>16</v>
      </c>
      <c r="G154" s="1" t="s">
        <v>170</v>
      </c>
      <c r="H154" s="3">
        <v>2</v>
      </c>
      <c r="I154" s="11">
        <v>24999</v>
      </c>
      <c r="J154" s="10">
        <v>0.05</v>
      </c>
      <c r="K154" s="12">
        <v>47498.1</v>
      </c>
      <c r="L154" s="1" t="s">
        <v>25</v>
      </c>
    </row>
    <row r="155" spans="1:12" x14ac:dyDescent="0.2">
      <c r="A155" s="1" t="s">
        <v>259</v>
      </c>
      <c r="B155" s="2">
        <v>45263</v>
      </c>
      <c r="C155" s="1" t="s">
        <v>123</v>
      </c>
      <c r="D155" s="1" t="s">
        <v>45</v>
      </c>
      <c r="E155" s="1" t="s">
        <v>46</v>
      </c>
      <c r="F155" s="1" t="s">
        <v>37</v>
      </c>
      <c r="G155" s="1" t="s">
        <v>130</v>
      </c>
      <c r="H155" s="3">
        <v>9</v>
      </c>
      <c r="I155" s="11">
        <v>2999</v>
      </c>
      <c r="J155" s="10">
        <v>0</v>
      </c>
      <c r="K155" s="12">
        <v>26991</v>
      </c>
      <c r="L155" s="1" t="s">
        <v>54</v>
      </c>
    </row>
    <row r="156" spans="1:12" x14ac:dyDescent="0.2">
      <c r="A156" s="1" t="s">
        <v>260</v>
      </c>
      <c r="B156" s="2">
        <v>45220</v>
      </c>
      <c r="C156" s="1" t="s">
        <v>183</v>
      </c>
      <c r="D156" s="1" t="s">
        <v>66</v>
      </c>
      <c r="E156" s="1" t="s">
        <v>15</v>
      </c>
      <c r="F156" s="1" t="s">
        <v>79</v>
      </c>
      <c r="G156" s="1" t="s">
        <v>80</v>
      </c>
      <c r="H156" s="3">
        <v>5</v>
      </c>
      <c r="I156" s="11">
        <v>199</v>
      </c>
      <c r="J156" s="10">
        <v>0.05</v>
      </c>
      <c r="K156" s="12">
        <v>945.25</v>
      </c>
      <c r="L156" s="1" t="s">
        <v>54</v>
      </c>
    </row>
    <row r="157" spans="1:12" x14ac:dyDescent="0.2">
      <c r="A157" s="1" t="s">
        <v>261</v>
      </c>
      <c r="B157" s="2">
        <v>45286</v>
      </c>
      <c r="C157" s="1" t="s">
        <v>82</v>
      </c>
      <c r="D157" s="1" t="s">
        <v>98</v>
      </c>
      <c r="E157" s="1" t="s">
        <v>46</v>
      </c>
      <c r="F157" s="1" t="s">
        <v>58</v>
      </c>
      <c r="G157" s="1" t="s">
        <v>59</v>
      </c>
      <c r="H157" s="3">
        <v>3</v>
      </c>
      <c r="I157" s="11">
        <v>599</v>
      </c>
      <c r="J157" s="10">
        <v>0.2</v>
      </c>
      <c r="K157" s="12">
        <v>1437.6</v>
      </c>
      <c r="L157" s="1" t="s">
        <v>30</v>
      </c>
    </row>
    <row r="158" spans="1:12" x14ac:dyDescent="0.2">
      <c r="A158" s="1" t="s">
        <v>262</v>
      </c>
      <c r="B158" s="2">
        <v>44962</v>
      </c>
      <c r="C158" s="1" t="s">
        <v>115</v>
      </c>
      <c r="D158" s="1" t="s">
        <v>14</v>
      </c>
      <c r="E158" s="1" t="s">
        <v>15</v>
      </c>
      <c r="F158" s="1" t="s">
        <v>37</v>
      </c>
      <c r="G158" s="1" t="s">
        <v>76</v>
      </c>
      <c r="H158" s="3">
        <v>9</v>
      </c>
      <c r="I158" s="11">
        <v>999</v>
      </c>
      <c r="J158" s="10">
        <v>0.15</v>
      </c>
      <c r="K158" s="12">
        <v>7642.35</v>
      </c>
      <c r="L158" s="1" t="s">
        <v>30</v>
      </c>
    </row>
    <row r="159" spans="1:12" x14ac:dyDescent="0.2">
      <c r="A159" s="1" t="s">
        <v>263</v>
      </c>
      <c r="B159" s="2">
        <v>45159</v>
      </c>
      <c r="C159" s="1" t="s">
        <v>36</v>
      </c>
      <c r="D159" s="1" t="s">
        <v>64</v>
      </c>
      <c r="E159" s="1" t="s">
        <v>46</v>
      </c>
      <c r="F159" s="1" t="s">
        <v>58</v>
      </c>
      <c r="G159" s="1" t="s">
        <v>113</v>
      </c>
      <c r="H159" s="3">
        <v>6</v>
      </c>
      <c r="I159" s="11">
        <v>399</v>
      </c>
      <c r="J159" s="10">
        <v>0</v>
      </c>
      <c r="K159" s="12">
        <v>2394</v>
      </c>
      <c r="L159" s="1" t="s">
        <v>25</v>
      </c>
    </row>
    <row r="160" spans="1:12" x14ac:dyDescent="0.2">
      <c r="A160" s="1" t="s">
        <v>264</v>
      </c>
      <c r="B160" s="2">
        <v>45007</v>
      </c>
      <c r="C160" s="1" t="s">
        <v>27</v>
      </c>
      <c r="D160" s="1" t="s">
        <v>14</v>
      </c>
      <c r="E160" s="1" t="s">
        <v>15</v>
      </c>
      <c r="F160" s="1" t="s">
        <v>37</v>
      </c>
      <c r="G160" s="1" t="s">
        <v>130</v>
      </c>
      <c r="H160" s="3">
        <v>8</v>
      </c>
      <c r="I160" s="11">
        <v>4999</v>
      </c>
      <c r="J160" s="10">
        <v>0.15</v>
      </c>
      <c r="K160" s="12">
        <v>33993.199999999997</v>
      </c>
      <c r="L160" s="1" t="s">
        <v>39</v>
      </c>
    </row>
    <row r="161" spans="1:12" x14ac:dyDescent="0.2">
      <c r="A161" s="1" t="s">
        <v>265</v>
      </c>
      <c r="B161" s="2">
        <v>45153</v>
      </c>
      <c r="C161" s="1" t="s">
        <v>97</v>
      </c>
      <c r="D161" s="1" t="s">
        <v>50</v>
      </c>
      <c r="E161" s="1" t="s">
        <v>51</v>
      </c>
      <c r="F161" s="1" t="s">
        <v>28</v>
      </c>
      <c r="G161" s="1" t="s">
        <v>86</v>
      </c>
      <c r="H161" s="3">
        <v>2</v>
      </c>
      <c r="I161" s="11">
        <v>2999</v>
      </c>
      <c r="J161" s="10">
        <v>0.15</v>
      </c>
      <c r="K161" s="12">
        <v>5098.3</v>
      </c>
      <c r="L161" s="1" t="s">
        <v>18</v>
      </c>
    </row>
    <row r="162" spans="1:12" x14ac:dyDescent="0.2">
      <c r="A162" s="1" t="s">
        <v>266</v>
      </c>
      <c r="B162" s="2">
        <v>45072</v>
      </c>
      <c r="C162" s="1" t="s">
        <v>44</v>
      </c>
      <c r="D162" s="1" t="s">
        <v>42</v>
      </c>
      <c r="E162" s="1" t="s">
        <v>15</v>
      </c>
      <c r="F162" s="1" t="s">
        <v>16</v>
      </c>
      <c r="G162" s="1" t="s">
        <v>137</v>
      </c>
      <c r="H162" s="3">
        <v>4</v>
      </c>
      <c r="I162" s="11">
        <v>3999</v>
      </c>
      <c r="J162" s="10">
        <v>0.2</v>
      </c>
      <c r="K162" s="12">
        <v>12796.8</v>
      </c>
      <c r="L162" s="1" t="s">
        <v>18</v>
      </c>
    </row>
    <row r="163" spans="1:12" x14ac:dyDescent="0.2">
      <c r="A163" s="1" t="s">
        <v>267</v>
      </c>
      <c r="B163" s="2">
        <v>44930</v>
      </c>
      <c r="C163" s="1" t="s">
        <v>105</v>
      </c>
      <c r="D163" s="1" t="s">
        <v>50</v>
      </c>
      <c r="E163" s="1" t="s">
        <v>51</v>
      </c>
      <c r="F163" s="1" t="s">
        <v>28</v>
      </c>
      <c r="G163" s="1" t="s">
        <v>149</v>
      </c>
      <c r="H163" s="3">
        <v>5</v>
      </c>
      <c r="I163" s="11">
        <v>1999</v>
      </c>
      <c r="J163" s="10">
        <v>0.1</v>
      </c>
      <c r="K163" s="12">
        <v>8995.5</v>
      </c>
      <c r="L163" s="1" t="s">
        <v>18</v>
      </c>
    </row>
    <row r="164" spans="1:12" x14ac:dyDescent="0.2">
      <c r="A164" s="1" t="s">
        <v>268</v>
      </c>
      <c r="B164" s="2">
        <v>44930</v>
      </c>
      <c r="C164" s="1" t="s">
        <v>123</v>
      </c>
      <c r="D164" s="1" t="s">
        <v>66</v>
      </c>
      <c r="E164" s="1" t="s">
        <v>15</v>
      </c>
      <c r="F164" s="1" t="s">
        <v>33</v>
      </c>
      <c r="G164" s="1" t="s">
        <v>142</v>
      </c>
      <c r="H164" s="3">
        <v>7</v>
      </c>
      <c r="I164" s="11">
        <v>49999</v>
      </c>
      <c r="J164" s="10">
        <v>0.25</v>
      </c>
      <c r="K164" s="12">
        <v>262494.75</v>
      </c>
      <c r="L164" s="1" t="s">
        <v>25</v>
      </c>
    </row>
    <row r="165" spans="1:12" x14ac:dyDescent="0.2">
      <c r="A165" s="1" t="s">
        <v>269</v>
      </c>
      <c r="B165" s="2">
        <v>45183</v>
      </c>
      <c r="C165" s="1" t="s">
        <v>20</v>
      </c>
      <c r="D165" s="1" t="s">
        <v>98</v>
      </c>
      <c r="E165" s="1" t="s">
        <v>46</v>
      </c>
      <c r="F165" s="1" t="s">
        <v>37</v>
      </c>
      <c r="G165" s="1" t="s">
        <v>38</v>
      </c>
      <c r="H165" s="3">
        <v>1</v>
      </c>
      <c r="I165" s="11">
        <v>4999</v>
      </c>
      <c r="J165" s="10">
        <v>0</v>
      </c>
      <c r="K165" s="12">
        <v>4999</v>
      </c>
      <c r="L165" s="1" t="s">
        <v>30</v>
      </c>
    </row>
    <row r="166" spans="1:12" x14ac:dyDescent="0.2">
      <c r="A166" s="1" t="s">
        <v>270</v>
      </c>
      <c r="B166" s="2">
        <v>44966</v>
      </c>
      <c r="C166" s="1" t="s">
        <v>36</v>
      </c>
      <c r="D166" s="1" t="s">
        <v>111</v>
      </c>
      <c r="E166" s="1" t="s">
        <v>22</v>
      </c>
      <c r="F166" s="1" t="s">
        <v>23</v>
      </c>
      <c r="G166" s="1" t="s">
        <v>144</v>
      </c>
      <c r="H166" s="3">
        <v>7</v>
      </c>
      <c r="I166" s="11">
        <v>4999</v>
      </c>
      <c r="J166" s="10">
        <v>0.1</v>
      </c>
      <c r="K166" s="12">
        <v>31493.7</v>
      </c>
      <c r="L166" s="1" t="s">
        <v>18</v>
      </c>
    </row>
    <row r="167" spans="1:12" x14ac:dyDescent="0.2">
      <c r="A167" s="1" t="s">
        <v>271</v>
      </c>
      <c r="B167" s="2">
        <v>45134</v>
      </c>
      <c r="C167" s="1" t="s">
        <v>126</v>
      </c>
      <c r="D167" s="1" t="s">
        <v>98</v>
      </c>
      <c r="E167" s="1" t="s">
        <v>46</v>
      </c>
      <c r="F167" s="1" t="s">
        <v>33</v>
      </c>
      <c r="G167" s="1" t="s">
        <v>56</v>
      </c>
      <c r="H167" s="3">
        <v>8</v>
      </c>
      <c r="I167" s="11">
        <v>2999</v>
      </c>
      <c r="J167" s="10">
        <v>0</v>
      </c>
      <c r="K167" s="12">
        <v>23992</v>
      </c>
      <c r="L167" s="1" t="s">
        <v>30</v>
      </c>
    </row>
    <row r="168" spans="1:12" x14ac:dyDescent="0.2">
      <c r="A168" s="1" t="s">
        <v>272</v>
      </c>
      <c r="B168" s="2">
        <v>44981</v>
      </c>
      <c r="C168" s="1" t="s">
        <v>183</v>
      </c>
      <c r="D168" s="1" t="s">
        <v>66</v>
      </c>
      <c r="E168" s="1" t="s">
        <v>15</v>
      </c>
      <c r="F168" s="1" t="s">
        <v>23</v>
      </c>
      <c r="G168" s="1" t="s">
        <v>144</v>
      </c>
      <c r="H168" s="3">
        <v>2</v>
      </c>
      <c r="I168" s="11">
        <v>3999</v>
      </c>
      <c r="J168" s="10">
        <v>0.1</v>
      </c>
      <c r="K168" s="12">
        <v>7198.2</v>
      </c>
      <c r="L168" s="1" t="s">
        <v>54</v>
      </c>
    </row>
    <row r="169" spans="1:12" x14ac:dyDescent="0.2">
      <c r="A169" s="1" t="s">
        <v>273</v>
      </c>
      <c r="B169" s="2">
        <v>45040</v>
      </c>
      <c r="C169" s="1" t="s">
        <v>36</v>
      </c>
      <c r="D169" s="1" t="s">
        <v>64</v>
      </c>
      <c r="E169" s="1" t="s">
        <v>46</v>
      </c>
      <c r="F169" s="1" t="s">
        <v>37</v>
      </c>
      <c r="G169" s="1" t="s">
        <v>219</v>
      </c>
      <c r="H169" s="3">
        <v>2</v>
      </c>
      <c r="I169" s="11">
        <v>24999</v>
      </c>
      <c r="J169" s="10">
        <v>0.2</v>
      </c>
      <c r="K169" s="12">
        <v>39998.400000000001</v>
      </c>
      <c r="L169" s="1" t="s">
        <v>25</v>
      </c>
    </row>
    <row r="170" spans="1:12" x14ac:dyDescent="0.2">
      <c r="A170" s="1" t="s">
        <v>274</v>
      </c>
      <c r="B170" s="2">
        <v>45105</v>
      </c>
      <c r="C170" s="1" t="s">
        <v>78</v>
      </c>
      <c r="D170" s="1" t="s">
        <v>64</v>
      </c>
      <c r="E170" s="1" t="s">
        <v>46</v>
      </c>
      <c r="F170" s="1" t="s">
        <v>28</v>
      </c>
      <c r="G170" s="1" t="s">
        <v>91</v>
      </c>
      <c r="H170" s="3">
        <v>3</v>
      </c>
      <c r="I170" s="11">
        <v>1499</v>
      </c>
      <c r="J170" s="10">
        <v>0.05</v>
      </c>
      <c r="K170" s="12">
        <v>4272.1499999999996</v>
      </c>
      <c r="L170" s="1" t="s">
        <v>25</v>
      </c>
    </row>
    <row r="171" spans="1:12" x14ac:dyDescent="0.2">
      <c r="A171" s="1" t="s">
        <v>275</v>
      </c>
      <c r="B171" s="2">
        <v>45235</v>
      </c>
      <c r="C171" s="1" t="s">
        <v>115</v>
      </c>
      <c r="D171" s="1" t="s">
        <v>21</v>
      </c>
      <c r="E171" s="1" t="s">
        <v>22</v>
      </c>
      <c r="F171" s="1" t="s">
        <v>33</v>
      </c>
      <c r="G171" s="1" t="s">
        <v>34</v>
      </c>
      <c r="H171" s="3">
        <v>8</v>
      </c>
      <c r="I171" s="11">
        <v>9999</v>
      </c>
      <c r="J171" s="10">
        <v>0.2</v>
      </c>
      <c r="K171" s="12">
        <v>63993.599999999999</v>
      </c>
      <c r="L171" s="1" t="s">
        <v>39</v>
      </c>
    </row>
    <row r="172" spans="1:12" x14ac:dyDescent="0.2">
      <c r="A172" s="1" t="s">
        <v>276</v>
      </c>
      <c r="B172" s="2">
        <v>45156</v>
      </c>
      <c r="C172" s="1" t="s">
        <v>44</v>
      </c>
      <c r="D172" s="1" t="s">
        <v>111</v>
      </c>
      <c r="E172" s="1" t="s">
        <v>22</v>
      </c>
      <c r="F172" s="1" t="s">
        <v>58</v>
      </c>
      <c r="G172" s="1" t="s">
        <v>175</v>
      </c>
      <c r="H172" s="3">
        <v>6</v>
      </c>
      <c r="I172" s="11">
        <v>599</v>
      </c>
      <c r="J172" s="10">
        <v>0.15</v>
      </c>
      <c r="K172" s="12">
        <v>3054.9</v>
      </c>
      <c r="L172" s="1" t="s">
        <v>18</v>
      </c>
    </row>
    <row r="173" spans="1:12" x14ac:dyDescent="0.2">
      <c r="A173" s="1" t="s">
        <v>277</v>
      </c>
      <c r="B173" s="2">
        <v>45167</v>
      </c>
      <c r="C173" s="1" t="s">
        <v>69</v>
      </c>
      <c r="D173" s="1" t="s">
        <v>50</v>
      </c>
      <c r="E173" s="1" t="s">
        <v>51</v>
      </c>
      <c r="F173" s="1" t="s">
        <v>16</v>
      </c>
      <c r="G173" s="1" t="s">
        <v>71</v>
      </c>
      <c r="H173" s="3">
        <v>1</v>
      </c>
      <c r="I173" s="11">
        <v>2999</v>
      </c>
      <c r="J173" s="10">
        <v>0.2</v>
      </c>
      <c r="K173" s="12">
        <v>2399.1999999999998</v>
      </c>
      <c r="L173" s="1" t="s">
        <v>18</v>
      </c>
    </row>
    <row r="174" spans="1:12" x14ac:dyDescent="0.2">
      <c r="A174" s="1" t="s">
        <v>278</v>
      </c>
      <c r="B174" s="2">
        <v>45085</v>
      </c>
      <c r="C174" s="1" t="s">
        <v>69</v>
      </c>
      <c r="D174" s="1" t="s">
        <v>42</v>
      </c>
      <c r="E174" s="1" t="s">
        <v>15</v>
      </c>
      <c r="F174" s="1" t="s">
        <v>79</v>
      </c>
      <c r="G174" s="1" t="s">
        <v>103</v>
      </c>
      <c r="H174" s="3">
        <v>6</v>
      </c>
      <c r="I174" s="11">
        <v>1999</v>
      </c>
      <c r="J174" s="10">
        <v>0</v>
      </c>
      <c r="K174" s="12">
        <v>11994</v>
      </c>
      <c r="L174" s="1" t="s">
        <v>18</v>
      </c>
    </row>
    <row r="175" spans="1:12" x14ac:dyDescent="0.2">
      <c r="A175" s="1" t="s">
        <v>279</v>
      </c>
      <c r="B175" s="2">
        <v>45241</v>
      </c>
      <c r="C175" s="1" t="s">
        <v>27</v>
      </c>
      <c r="D175" s="1" t="s">
        <v>70</v>
      </c>
      <c r="E175" s="1" t="s">
        <v>15</v>
      </c>
      <c r="F175" s="1" t="s">
        <v>23</v>
      </c>
      <c r="G175" s="1" t="s">
        <v>99</v>
      </c>
      <c r="H175" s="3">
        <v>10</v>
      </c>
      <c r="I175" s="11">
        <v>49999</v>
      </c>
      <c r="J175" s="10">
        <v>0.25</v>
      </c>
      <c r="K175" s="12">
        <v>374992.5</v>
      </c>
      <c r="L175" s="1" t="s">
        <v>18</v>
      </c>
    </row>
    <row r="176" spans="1:12" x14ac:dyDescent="0.2">
      <c r="A176" s="1" t="s">
        <v>280</v>
      </c>
      <c r="B176" s="2">
        <v>45157</v>
      </c>
      <c r="C176" s="1" t="s">
        <v>44</v>
      </c>
      <c r="D176" s="1" t="s">
        <v>45</v>
      </c>
      <c r="E176" s="1" t="s">
        <v>46</v>
      </c>
      <c r="F176" s="1" t="s">
        <v>58</v>
      </c>
      <c r="G176" s="1" t="s">
        <v>215</v>
      </c>
      <c r="H176" s="3">
        <v>8</v>
      </c>
      <c r="I176" s="11">
        <v>24999</v>
      </c>
      <c r="J176" s="10">
        <v>0.05</v>
      </c>
      <c r="K176" s="12">
        <v>189992.4</v>
      </c>
      <c r="L176" s="1" t="s">
        <v>18</v>
      </c>
    </row>
    <row r="177" spans="1:12" x14ac:dyDescent="0.2">
      <c r="A177" s="1" t="s">
        <v>281</v>
      </c>
      <c r="B177" s="2">
        <v>45157</v>
      </c>
      <c r="C177" s="1" t="s">
        <v>13</v>
      </c>
      <c r="D177" s="1" t="s">
        <v>98</v>
      </c>
      <c r="E177" s="1" t="s">
        <v>46</v>
      </c>
      <c r="F177" s="1" t="s">
        <v>37</v>
      </c>
      <c r="G177" s="1" t="s">
        <v>219</v>
      </c>
      <c r="H177" s="3">
        <v>3</v>
      </c>
      <c r="I177" s="11">
        <v>299</v>
      </c>
      <c r="J177" s="10">
        <v>0.05</v>
      </c>
      <c r="K177" s="12">
        <v>852.15</v>
      </c>
      <c r="L177" s="1" t="s">
        <v>30</v>
      </c>
    </row>
    <row r="178" spans="1:12" x14ac:dyDescent="0.2">
      <c r="A178" s="1" t="s">
        <v>282</v>
      </c>
      <c r="B178" s="2">
        <v>45151</v>
      </c>
      <c r="C178" s="1" t="s">
        <v>88</v>
      </c>
      <c r="D178" s="1" t="s">
        <v>70</v>
      </c>
      <c r="E178" s="1" t="s">
        <v>15</v>
      </c>
      <c r="F178" s="1" t="s">
        <v>33</v>
      </c>
      <c r="G178" s="1" t="s">
        <v>188</v>
      </c>
      <c r="H178" s="3">
        <v>6</v>
      </c>
      <c r="I178" s="11">
        <v>1999</v>
      </c>
      <c r="J178" s="10">
        <v>0.15</v>
      </c>
      <c r="K178" s="12">
        <v>10194.9</v>
      </c>
      <c r="L178" s="1" t="s">
        <v>30</v>
      </c>
    </row>
    <row r="179" spans="1:12" x14ac:dyDescent="0.2">
      <c r="A179" s="1" t="s">
        <v>283</v>
      </c>
      <c r="B179" s="2">
        <v>45100</v>
      </c>
      <c r="C179" s="1" t="s">
        <v>27</v>
      </c>
      <c r="D179" s="1" t="s">
        <v>14</v>
      </c>
      <c r="E179" s="1" t="s">
        <v>15</v>
      </c>
      <c r="F179" s="1" t="s">
        <v>58</v>
      </c>
      <c r="G179" s="1" t="s">
        <v>59</v>
      </c>
      <c r="H179" s="3">
        <v>6</v>
      </c>
      <c r="I179" s="11">
        <v>499</v>
      </c>
      <c r="J179" s="10">
        <v>0.2</v>
      </c>
      <c r="K179" s="12">
        <v>2395.1999999999998</v>
      </c>
      <c r="L179" s="1" t="s">
        <v>30</v>
      </c>
    </row>
    <row r="180" spans="1:12" x14ac:dyDescent="0.2">
      <c r="A180" s="1" t="s">
        <v>284</v>
      </c>
      <c r="B180" s="2">
        <v>45072</v>
      </c>
      <c r="C180" s="1" t="s">
        <v>32</v>
      </c>
      <c r="D180" s="1" t="s">
        <v>111</v>
      </c>
      <c r="E180" s="1" t="s">
        <v>22</v>
      </c>
      <c r="F180" s="1" t="s">
        <v>33</v>
      </c>
      <c r="G180" s="1" t="s">
        <v>188</v>
      </c>
      <c r="H180" s="3">
        <v>2</v>
      </c>
      <c r="I180" s="11">
        <v>599</v>
      </c>
      <c r="J180" s="10">
        <v>0.1</v>
      </c>
      <c r="K180" s="12">
        <v>1078.2</v>
      </c>
      <c r="L180" s="1" t="s">
        <v>54</v>
      </c>
    </row>
    <row r="181" spans="1:12" x14ac:dyDescent="0.2">
      <c r="A181" s="1" t="s">
        <v>285</v>
      </c>
      <c r="B181" s="2">
        <v>45262</v>
      </c>
      <c r="C181" s="1" t="s">
        <v>49</v>
      </c>
      <c r="D181" s="1" t="s">
        <v>64</v>
      </c>
      <c r="E181" s="1" t="s">
        <v>46</v>
      </c>
      <c r="F181" s="1" t="s">
        <v>37</v>
      </c>
      <c r="G181" s="1" t="s">
        <v>130</v>
      </c>
      <c r="H181" s="3">
        <v>9</v>
      </c>
      <c r="I181" s="11">
        <v>3999</v>
      </c>
      <c r="J181" s="10">
        <v>0.25</v>
      </c>
      <c r="K181" s="12">
        <v>26993.25</v>
      </c>
      <c r="L181" s="1" t="s">
        <v>54</v>
      </c>
    </row>
    <row r="182" spans="1:12" x14ac:dyDescent="0.2">
      <c r="A182" s="1" t="s">
        <v>286</v>
      </c>
      <c r="B182" s="2">
        <v>44992</v>
      </c>
      <c r="C182" s="1" t="s">
        <v>88</v>
      </c>
      <c r="D182" s="1" t="s">
        <v>21</v>
      </c>
      <c r="E182" s="1" t="s">
        <v>22</v>
      </c>
      <c r="F182" s="1" t="s">
        <v>23</v>
      </c>
      <c r="G182" s="1" t="s">
        <v>144</v>
      </c>
      <c r="H182" s="3">
        <v>6</v>
      </c>
      <c r="I182" s="11">
        <v>199</v>
      </c>
      <c r="J182" s="10">
        <v>0.1</v>
      </c>
      <c r="K182" s="12">
        <v>1074.5999999999999</v>
      </c>
      <c r="L182" s="1" t="s">
        <v>54</v>
      </c>
    </row>
    <row r="183" spans="1:12" x14ac:dyDescent="0.2">
      <c r="A183" s="1" t="s">
        <v>287</v>
      </c>
      <c r="B183" s="2">
        <v>45019</v>
      </c>
      <c r="C183" s="1" t="s">
        <v>105</v>
      </c>
      <c r="D183" s="1" t="s">
        <v>98</v>
      </c>
      <c r="E183" s="1" t="s">
        <v>46</v>
      </c>
      <c r="F183" s="1" t="s">
        <v>52</v>
      </c>
      <c r="G183" s="1" t="s">
        <v>107</v>
      </c>
      <c r="H183" s="3">
        <v>4</v>
      </c>
      <c r="I183" s="11">
        <v>599</v>
      </c>
      <c r="J183" s="10">
        <v>0.05</v>
      </c>
      <c r="K183" s="12">
        <v>2276.1999999999998</v>
      </c>
      <c r="L183" s="1" t="s">
        <v>18</v>
      </c>
    </row>
    <row r="184" spans="1:12" x14ac:dyDescent="0.2">
      <c r="A184" s="1" t="s">
        <v>288</v>
      </c>
      <c r="B184" s="2">
        <v>45078</v>
      </c>
      <c r="C184" s="1" t="s">
        <v>13</v>
      </c>
      <c r="D184" s="1" t="s">
        <v>70</v>
      </c>
      <c r="E184" s="1" t="s">
        <v>15</v>
      </c>
      <c r="F184" s="1" t="s">
        <v>79</v>
      </c>
      <c r="G184" s="1" t="s">
        <v>289</v>
      </c>
      <c r="H184" s="3">
        <v>6</v>
      </c>
      <c r="I184" s="11">
        <v>599</v>
      </c>
      <c r="J184" s="10">
        <v>0.2</v>
      </c>
      <c r="K184" s="12">
        <v>2875.2</v>
      </c>
      <c r="L184" s="1" t="s">
        <v>30</v>
      </c>
    </row>
    <row r="185" spans="1:12" x14ac:dyDescent="0.2">
      <c r="A185" s="1" t="s">
        <v>290</v>
      </c>
      <c r="B185" s="2">
        <v>45005</v>
      </c>
      <c r="C185" s="1" t="s">
        <v>75</v>
      </c>
      <c r="D185" s="1" t="s">
        <v>64</v>
      </c>
      <c r="E185" s="1" t="s">
        <v>46</v>
      </c>
      <c r="F185" s="1" t="s">
        <v>33</v>
      </c>
      <c r="G185" s="1" t="s">
        <v>34</v>
      </c>
      <c r="H185" s="3">
        <v>8</v>
      </c>
      <c r="I185" s="11">
        <v>299</v>
      </c>
      <c r="J185" s="10">
        <v>0.15</v>
      </c>
      <c r="K185" s="12">
        <v>2033.2</v>
      </c>
      <c r="L185" s="1" t="s">
        <v>54</v>
      </c>
    </row>
    <row r="186" spans="1:12" x14ac:dyDescent="0.2">
      <c r="A186" s="1" t="s">
        <v>291</v>
      </c>
      <c r="B186" s="2">
        <v>45273</v>
      </c>
      <c r="C186" s="1" t="s">
        <v>183</v>
      </c>
      <c r="D186" s="1" t="s">
        <v>42</v>
      </c>
      <c r="E186" s="1" t="s">
        <v>15</v>
      </c>
      <c r="F186" s="1" t="s">
        <v>16</v>
      </c>
      <c r="G186" s="1" t="s">
        <v>227</v>
      </c>
      <c r="H186" s="3">
        <v>8</v>
      </c>
      <c r="I186" s="11">
        <v>1299</v>
      </c>
      <c r="J186" s="10">
        <v>0.2</v>
      </c>
      <c r="K186" s="12">
        <v>8313.6</v>
      </c>
      <c r="L186" s="1" t="s">
        <v>25</v>
      </c>
    </row>
    <row r="187" spans="1:12" x14ac:dyDescent="0.2">
      <c r="A187" s="1" t="s">
        <v>292</v>
      </c>
      <c r="B187" s="2">
        <v>45085</v>
      </c>
      <c r="C187" s="1" t="s">
        <v>123</v>
      </c>
      <c r="D187" s="1" t="s">
        <v>45</v>
      </c>
      <c r="E187" s="1" t="s">
        <v>46</v>
      </c>
      <c r="F187" s="1" t="s">
        <v>58</v>
      </c>
      <c r="G187" s="1" t="s">
        <v>175</v>
      </c>
      <c r="H187" s="3">
        <v>10</v>
      </c>
      <c r="I187" s="11">
        <v>9999</v>
      </c>
      <c r="J187" s="10">
        <v>0.15</v>
      </c>
      <c r="K187" s="12">
        <v>84991.5</v>
      </c>
      <c r="L187" s="1" t="s">
        <v>54</v>
      </c>
    </row>
    <row r="188" spans="1:12" x14ac:dyDescent="0.2">
      <c r="A188" s="1" t="s">
        <v>293</v>
      </c>
      <c r="B188" s="2">
        <v>45122</v>
      </c>
      <c r="C188" s="1" t="s">
        <v>88</v>
      </c>
      <c r="D188" s="1" t="s">
        <v>70</v>
      </c>
      <c r="E188" s="1" t="s">
        <v>15</v>
      </c>
      <c r="F188" s="1" t="s">
        <v>23</v>
      </c>
      <c r="G188" s="1" t="s">
        <v>128</v>
      </c>
      <c r="H188" s="3">
        <v>4</v>
      </c>
      <c r="I188" s="11">
        <v>599</v>
      </c>
      <c r="J188" s="10">
        <v>0.1</v>
      </c>
      <c r="K188" s="12">
        <v>2156.4</v>
      </c>
      <c r="L188" s="1" t="s">
        <v>18</v>
      </c>
    </row>
    <row r="189" spans="1:12" x14ac:dyDescent="0.2">
      <c r="A189" s="1" t="s">
        <v>294</v>
      </c>
      <c r="B189" s="2">
        <v>45255</v>
      </c>
      <c r="C189" s="1" t="s">
        <v>123</v>
      </c>
      <c r="D189" s="1" t="s">
        <v>98</v>
      </c>
      <c r="E189" s="1" t="s">
        <v>46</v>
      </c>
      <c r="F189" s="1" t="s">
        <v>37</v>
      </c>
      <c r="G189" s="1" t="s">
        <v>76</v>
      </c>
      <c r="H189" s="3">
        <v>9</v>
      </c>
      <c r="I189" s="11">
        <v>499</v>
      </c>
      <c r="J189" s="10">
        <v>0.1</v>
      </c>
      <c r="K189" s="12">
        <v>4041.9</v>
      </c>
      <c r="L189" s="1" t="s">
        <v>18</v>
      </c>
    </row>
    <row r="190" spans="1:12" x14ac:dyDescent="0.2">
      <c r="A190" s="1" t="s">
        <v>295</v>
      </c>
      <c r="B190" s="2">
        <v>45009</v>
      </c>
      <c r="C190" s="1" t="s">
        <v>32</v>
      </c>
      <c r="D190" s="1" t="s">
        <v>42</v>
      </c>
      <c r="E190" s="1" t="s">
        <v>15</v>
      </c>
      <c r="F190" s="1" t="s">
        <v>33</v>
      </c>
      <c r="G190" s="1" t="s">
        <v>119</v>
      </c>
      <c r="H190" s="3">
        <v>2</v>
      </c>
      <c r="I190" s="11">
        <v>1299</v>
      </c>
      <c r="J190" s="10">
        <v>0.15</v>
      </c>
      <c r="K190" s="12">
        <v>2208.3000000000002</v>
      </c>
      <c r="L190" s="1" t="s">
        <v>54</v>
      </c>
    </row>
    <row r="191" spans="1:12" x14ac:dyDescent="0.2">
      <c r="A191" s="1" t="s">
        <v>296</v>
      </c>
      <c r="B191" s="2">
        <v>44940</v>
      </c>
      <c r="C191" s="1" t="s">
        <v>97</v>
      </c>
      <c r="D191" s="1" t="s">
        <v>14</v>
      </c>
      <c r="E191" s="1" t="s">
        <v>15</v>
      </c>
      <c r="F191" s="1" t="s">
        <v>23</v>
      </c>
      <c r="G191" s="1" t="s">
        <v>144</v>
      </c>
      <c r="H191" s="3">
        <v>6</v>
      </c>
      <c r="I191" s="11">
        <v>1299</v>
      </c>
      <c r="J191" s="10">
        <v>0.15</v>
      </c>
      <c r="K191" s="12">
        <v>6624.9</v>
      </c>
      <c r="L191" s="1" t="s">
        <v>18</v>
      </c>
    </row>
    <row r="192" spans="1:12" x14ac:dyDescent="0.2">
      <c r="A192" s="1" t="s">
        <v>297</v>
      </c>
      <c r="B192" s="2">
        <v>45118</v>
      </c>
      <c r="C192" s="1" t="s">
        <v>183</v>
      </c>
      <c r="D192" s="1" t="s">
        <v>14</v>
      </c>
      <c r="E192" s="1" t="s">
        <v>15</v>
      </c>
      <c r="F192" s="1" t="s">
        <v>58</v>
      </c>
      <c r="G192" s="1" t="s">
        <v>59</v>
      </c>
      <c r="H192" s="3">
        <v>6</v>
      </c>
      <c r="I192" s="11">
        <v>599</v>
      </c>
      <c r="J192" s="10">
        <v>0.05</v>
      </c>
      <c r="K192" s="12">
        <v>3414.3</v>
      </c>
      <c r="L192" s="1" t="s">
        <v>18</v>
      </c>
    </row>
    <row r="193" spans="1:12" x14ac:dyDescent="0.2">
      <c r="A193" s="1" t="s">
        <v>298</v>
      </c>
      <c r="B193" s="2">
        <v>45073</v>
      </c>
      <c r="C193" s="1" t="s">
        <v>123</v>
      </c>
      <c r="D193" s="1" t="s">
        <v>64</v>
      </c>
      <c r="E193" s="1" t="s">
        <v>46</v>
      </c>
      <c r="F193" s="1" t="s">
        <v>52</v>
      </c>
      <c r="G193" s="1" t="s">
        <v>177</v>
      </c>
      <c r="H193" s="3">
        <v>10</v>
      </c>
      <c r="I193" s="11">
        <v>199</v>
      </c>
      <c r="J193" s="10">
        <v>0</v>
      </c>
      <c r="K193" s="12">
        <v>1990</v>
      </c>
      <c r="L193" s="1" t="s">
        <v>18</v>
      </c>
    </row>
    <row r="194" spans="1:12" x14ac:dyDescent="0.2">
      <c r="A194" s="1" t="s">
        <v>299</v>
      </c>
      <c r="B194" s="2">
        <v>45058</v>
      </c>
      <c r="C194" s="1" t="s">
        <v>105</v>
      </c>
      <c r="D194" s="1" t="s">
        <v>64</v>
      </c>
      <c r="E194" s="1" t="s">
        <v>46</v>
      </c>
      <c r="F194" s="1" t="s">
        <v>23</v>
      </c>
      <c r="G194" s="1" t="s">
        <v>24</v>
      </c>
      <c r="H194" s="3">
        <v>5</v>
      </c>
      <c r="I194" s="11">
        <v>1299</v>
      </c>
      <c r="J194" s="10">
        <v>0.1</v>
      </c>
      <c r="K194" s="12">
        <v>5845.5</v>
      </c>
      <c r="L194" s="1" t="s">
        <v>18</v>
      </c>
    </row>
    <row r="195" spans="1:12" x14ac:dyDescent="0.2">
      <c r="A195" s="1" t="s">
        <v>300</v>
      </c>
      <c r="B195" s="2">
        <v>44951</v>
      </c>
      <c r="C195" s="1" t="s">
        <v>183</v>
      </c>
      <c r="D195" s="1" t="s">
        <v>66</v>
      </c>
      <c r="E195" s="1" t="s">
        <v>15</v>
      </c>
      <c r="F195" s="1" t="s">
        <v>52</v>
      </c>
      <c r="G195" s="1" t="s">
        <v>156</v>
      </c>
      <c r="H195" s="3">
        <v>2</v>
      </c>
      <c r="I195" s="11">
        <v>14999</v>
      </c>
      <c r="J195" s="10">
        <v>0.2</v>
      </c>
      <c r="K195" s="12">
        <v>23998.400000000001</v>
      </c>
      <c r="L195" s="1" t="s">
        <v>39</v>
      </c>
    </row>
    <row r="196" spans="1:12" x14ac:dyDescent="0.2">
      <c r="A196" s="1" t="s">
        <v>301</v>
      </c>
      <c r="B196" s="2">
        <v>44935</v>
      </c>
      <c r="C196" s="1" t="s">
        <v>88</v>
      </c>
      <c r="D196" s="1" t="s">
        <v>111</v>
      </c>
      <c r="E196" s="1" t="s">
        <v>22</v>
      </c>
      <c r="F196" s="1" t="s">
        <v>28</v>
      </c>
      <c r="G196" s="1" t="s">
        <v>29</v>
      </c>
      <c r="H196" s="3">
        <v>3</v>
      </c>
      <c r="I196" s="11">
        <v>1999</v>
      </c>
      <c r="J196" s="10">
        <v>0.15</v>
      </c>
      <c r="K196" s="12">
        <v>5097.45</v>
      </c>
      <c r="L196" s="1" t="s">
        <v>18</v>
      </c>
    </row>
    <row r="197" spans="1:12" x14ac:dyDescent="0.2">
      <c r="A197" s="1" t="s">
        <v>302</v>
      </c>
      <c r="B197" s="2">
        <v>45241</v>
      </c>
      <c r="C197" s="1" t="s">
        <v>78</v>
      </c>
      <c r="D197" s="1" t="s">
        <v>45</v>
      </c>
      <c r="E197" s="1" t="s">
        <v>46</v>
      </c>
      <c r="F197" s="1" t="s">
        <v>23</v>
      </c>
      <c r="G197" s="1" t="s">
        <v>128</v>
      </c>
      <c r="H197" s="3">
        <v>2</v>
      </c>
      <c r="I197" s="11">
        <v>24999</v>
      </c>
      <c r="J197" s="10">
        <v>0.1</v>
      </c>
      <c r="K197" s="12">
        <v>44998.2</v>
      </c>
      <c r="L197" s="1" t="s">
        <v>18</v>
      </c>
    </row>
    <row r="198" spans="1:12" x14ac:dyDescent="0.2">
      <c r="A198" s="1" t="s">
        <v>303</v>
      </c>
      <c r="B198" s="2">
        <v>45196</v>
      </c>
      <c r="C198" s="1" t="s">
        <v>20</v>
      </c>
      <c r="D198" s="1" t="s">
        <v>70</v>
      </c>
      <c r="E198" s="1" t="s">
        <v>15</v>
      </c>
      <c r="F198" s="1" t="s">
        <v>79</v>
      </c>
      <c r="G198" s="1" t="s">
        <v>162</v>
      </c>
      <c r="H198" s="3">
        <v>8</v>
      </c>
      <c r="I198" s="11">
        <v>299</v>
      </c>
      <c r="J198" s="10">
        <v>0.25</v>
      </c>
      <c r="K198" s="12">
        <v>1794</v>
      </c>
      <c r="L198" s="1" t="s">
        <v>30</v>
      </c>
    </row>
    <row r="199" spans="1:12" x14ac:dyDescent="0.2">
      <c r="A199" s="1" t="s">
        <v>304</v>
      </c>
      <c r="B199" s="2">
        <v>45118</v>
      </c>
      <c r="C199" s="1" t="s">
        <v>32</v>
      </c>
      <c r="D199" s="1" t="s">
        <v>14</v>
      </c>
      <c r="E199" s="1" t="s">
        <v>15</v>
      </c>
      <c r="F199" s="1" t="s">
        <v>58</v>
      </c>
      <c r="G199" s="1" t="s">
        <v>59</v>
      </c>
      <c r="H199" s="3">
        <v>6</v>
      </c>
      <c r="I199" s="11">
        <v>1299</v>
      </c>
      <c r="J199" s="10">
        <v>0.25</v>
      </c>
      <c r="K199" s="12">
        <v>5845.5</v>
      </c>
      <c r="L199" s="1" t="s">
        <v>18</v>
      </c>
    </row>
    <row r="200" spans="1:12" x14ac:dyDescent="0.2">
      <c r="A200" s="1" t="s">
        <v>305</v>
      </c>
      <c r="B200" s="2">
        <v>45224</v>
      </c>
      <c r="C200" s="1" t="s">
        <v>36</v>
      </c>
      <c r="D200" s="1" t="s">
        <v>64</v>
      </c>
      <c r="E200" s="1" t="s">
        <v>46</v>
      </c>
      <c r="F200" s="1" t="s">
        <v>79</v>
      </c>
      <c r="G200" s="1" t="s">
        <v>165</v>
      </c>
      <c r="H200" s="3">
        <v>9</v>
      </c>
      <c r="I200" s="11">
        <v>2499</v>
      </c>
      <c r="J200" s="10">
        <v>0.25</v>
      </c>
      <c r="K200" s="12">
        <v>16868.25</v>
      </c>
      <c r="L200" s="1" t="s">
        <v>25</v>
      </c>
    </row>
    <row r="201" spans="1:12" x14ac:dyDescent="0.2">
      <c r="A201" s="1" t="s">
        <v>306</v>
      </c>
      <c r="B201" s="2">
        <v>45277</v>
      </c>
      <c r="C201" s="1" t="s">
        <v>69</v>
      </c>
      <c r="D201" s="1" t="s">
        <v>42</v>
      </c>
      <c r="E201" s="1" t="s">
        <v>15</v>
      </c>
      <c r="F201" s="1" t="s">
        <v>33</v>
      </c>
      <c r="G201" s="1" t="s">
        <v>142</v>
      </c>
      <c r="H201" s="3">
        <v>2</v>
      </c>
      <c r="I201" s="11">
        <v>9999</v>
      </c>
      <c r="J201" s="10">
        <v>0</v>
      </c>
      <c r="K201" s="12">
        <v>19998</v>
      </c>
      <c r="L201" s="1" t="s">
        <v>54</v>
      </c>
    </row>
    <row r="202" spans="1:12" x14ac:dyDescent="0.2">
      <c r="A202" s="1" t="s">
        <v>307</v>
      </c>
      <c r="B202" s="2">
        <v>45030</v>
      </c>
      <c r="C202" s="1" t="s">
        <v>41</v>
      </c>
      <c r="D202" s="1" t="s">
        <v>45</v>
      </c>
      <c r="E202" s="1" t="s">
        <v>46</v>
      </c>
      <c r="F202" s="1" t="s">
        <v>79</v>
      </c>
      <c r="G202" s="1" t="s">
        <v>165</v>
      </c>
      <c r="H202" s="3">
        <v>5</v>
      </c>
      <c r="I202" s="11">
        <v>24999</v>
      </c>
      <c r="J202" s="10">
        <v>0.15</v>
      </c>
      <c r="K202" s="12">
        <v>106245.75</v>
      </c>
      <c r="L202" s="1" t="s">
        <v>39</v>
      </c>
    </row>
    <row r="203" spans="1:12" x14ac:dyDescent="0.2">
      <c r="A203" s="1" t="s">
        <v>308</v>
      </c>
      <c r="B203" s="2">
        <v>45169</v>
      </c>
      <c r="C203" s="1" t="s">
        <v>32</v>
      </c>
      <c r="D203" s="1" t="s">
        <v>14</v>
      </c>
      <c r="E203" s="1" t="s">
        <v>15</v>
      </c>
      <c r="F203" s="1" t="s">
        <v>28</v>
      </c>
      <c r="G203" s="1" t="s">
        <v>93</v>
      </c>
      <c r="H203" s="3">
        <v>6</v>
      </c>
      <c r="I203" s="11">
        <v>299</v>
      </c>
      <c r="J203" s="10">
        <v>0.25</v>
      </c>
      <c r="K203" s="12">
        <v>1345.5</v>
      </c>
      <c r="L203" s="1" t="s">
        <v>54</v>
      </c>
    </row>
    <row r="204" spans="1:12" x14ac:dyDescent="0.2">
      <c r="A204" s="1" t="s">
        <v>309</v>
      </c>
      <c r="B204" s="2">
        <v>45066</v>
      </c>
      <c r="C204" s="1" t="s">
        <v>13</v>
      </c>
      <c r="D204" s="1" t="s">
        <v>98</v>
      </c>
      <c r="E204" s="1" t="s">
        <v>46</v>
      </c>
      <c r="F204" s="1" t="s">
        <v>23</v>
      </c>
      <c r="G204" s="1" t="s">
        <v>99</v>
      </c>
      <c r="H204" s="3">
        <v>8</v>
      </c>
      <c r="I204" s="11">
        <v>3999</v>
      </c>
      <c r="J204" s="10">
        <v>0.1</v>
      </c>
      <c r="K204" s="12">
        <v>28792.799999999999</v>
      </c>
      <c r="L204" s="1" t="s">
        <v>25</v>
      </c>
    </row>
    <row r="205" spans="1:12" x14ac:dyDescent="0.2">
      <c r="A205" s="1" t="s">
        <v>310</v>
      </c>
      <c r="B205" s="2">
        <v>45181</v>
      </c>
      <c r="C205" s="1" t="s">
        <v>123</v>
      </c>
      <c r="D205" s="1" t="s">
        <v>98</v>
      </c>
      <c r="E205" s="1" t="s">
        <v>46</v>
      </c>
      <c r="F205" s="1" t="s">
        <v>16</v>
      </c>
      <c r="G205" s="1" t="s">
        <v>137</v>
      </c>
      <c r="H205" s="3">
        <v>7</v>
      </c>
      <c r="I205" s="11">
        <v>399</v>
      </c>
      <c r="J205" s="10">
        <v>0.15</v>
      </c>
      <c r="K205" s="12">
        <v>2374.0500000000002</v>
      </c>
      <c r="L205" s="1" t="s">
        <v>39</v>
      </c>
    </row>
    <row r="206" spans="1:12" x14ac:dyDescent="0.2">
      <c r="A206" s="1" t="s">
        <v>311</v>
      </c>
      <c r="B206" s="2">
        <v>45019</v>
      </c>
      <c r="C206" s="1" t="s">
        <v>20</v>
      </c>
      <c r="D206" s="1" t="s">
        <v>50</v>
      </c>
      <c r="E206" s="1" t="s">
        <v>51</v>
      </c>
      <c r="F206" s="1" t="s">
        <v>58</v>
      </c>
      <c r="G206" s="1" t="s">
        <v>59</v>
      </c>
      <c r="H206" s="3">
        <v>2</v>
      </c>
      <c r="I206" s="11">
        <v>2499</v>
      </c>
      <c r="J206" s="10">
        <v>0.25</v>
      </c>
      <c r="K206" s="12">
        <v>3748.5</v>
      </c>
      <c r="L206" s="1" t="s">
        <v>54</v>
      </c>
    </row>
    <row r="207" spans="1:12" x14ac:dyDescent="0.2">
      <c r="A207" s="1" t="s">
        <v>312</v>
      </c>
      <c r="B207" s="2">
        <v>45083</v>
      </c>
      <c r="C207" s="1" t="s">
        <v>69</v>
      </c>
      <c r="D207" s="1" t="s">
        <v>111</v>
      </c>
      <c r="E207" s="1" t="s">
        <v>22</v>
      </c>
      <c r="F207" s="1" t="s">
        <v>23</v>
      </c>
      <c r="G207" s="1" t="s">
        <v>128</v>
      </c>
      <c r="H207" s="3">
        <v>8</v>
      </c>
      <c r="I207" s="11">
        <v>2999</v>
      </c>
      <c r="J207" s="10">
        <v>0.15</v>
      </c>
      <c r="K207" s="12">
        <v>20393.2</v>
      </c>
      <c r="L207" s="1" t="s">
        <v>18</v>
      </c>
    </row>
    <row r="208" spans="1:12" x14ac:dyDescent="0.2">
      <c r="A208" s="1" t="s">
        <v>313</v>
      </c>
      <c r="B208" s="2">
        <v>45107</v>
      </c>
      <c r="C208" s="1" t="s">
        <v>27</v>
      </c>
      <c r="D208" s="1" t="s">
        <v>66</v>
      </c>
      <c r="E208" s="1" t="s">
        <v>15</v>
      </c>
      <c r="F208" s="1" t="s">
        <v>16</v>
      </c>
      <c r="G208" s="1" t="s">
        <v>227</v>
      </c>
      <c r="H208" s="3">
        <v>1</v>
      </c>
      <c r="I208" s="11">
        <v>399</v>
      </c>
      <c r="J208" s="10">
        <v>0.25</v>
      </c>
      <c r="K208" s="12">
        <v>299.25</v>
      </c>
      <c r="L208" s="1" t="s">
        <v>30</v>
      </c>
    </row>
    <row r="209" spans="1:12" x14ac:dyDescent="0.2">
      <c r="A209" s="1" t="s">
        <v>314</v>
      </c>
      <c r="B209" s="2">
        <v>45113</v>
      </c>
      <c r="C209" s="1" t="s">
        <v>88</v>
      </c>
      <c r="D209" s="1" t="s">
        <v>64</v>
      </c>
      <c r="E209" s="1" t="s">
        <v>46</v>
      </c>
      <c r="F209" s="1" t="s">
        <v>79</v>
      </c>
      <c r="G209" s="1" t="s">
        <v>83</v>
      </c>
      <c r="H209" s="3">
        <v>10</v>
      </c>
      <c r="I209" s="11">
        <v>9999</v>
      </c>
      <c r="J209" s="10">
        <v>0</v>
      </c>
      <c r="K209" s="12">
        <v>99990</v>
      </c>
      <c r="L209" s="1" t="s">
        <v>25</v>
      </c>
    </row>
    <row r="210" spans="1:12" x14ac:dyDescent="0.2">
      <c r="A210" s="1" t="s">
        <v>315</v>
      </c>
      <c r="B210" s="2">
        <v>44961</v>
      </c>
      <c r="C210" s="1" t="s">
        <v>183</v>
      </c>
      <c r="D210" s="1" t="s">
        <v>98</v>
      </c>
      <c r="E210" s="1" t="s">
        <v>46</v>
      </c>
      <c r="F210" s="1" t="s">
        <v>58</v>
      </c>
      <c r="G210" s="1" t="s">
        <v>146</v>
      </c>
      <c r="H210" s="3">
        <v>10</v>
      </c>
      <c r="I210" s="11">
        <v>299</v>
      </c>
      <c r="J210" s="10">
        <v>0.2</v>
      </c>
      <c r="K210" s="12">
        <v>2392</v>
      </c>
      <c r="L210" s="1" t="s">
        <v>25</v>
      </c>
    </row>
    <row r="211" spans="1:12" x14ac:dyDescent="0.2">
      <c r="A211" s="1" t="s">
        <v>316</v>
      </c>
      <c r="B211" s="2">
        <v>45274</v>
      </c>
      <c r="C211" s="1" t="s">
        <v>69</v>
      </c>
      <c r="D211" s="1" t="s">
        <v>98</v>
      </c>
      <c r="E211" s="1" t="s">
        <v>46</v>
      </c>
      <c r="F211" s="1" t="s">
        <v>58</v>
      </c>
      <c r="G211" s="1" t="s">
        <v>146</v>
      </c>
      <c r="H211" s="3">
        <v>2</v>
      </c>
      <c r="I211" s="11">
        <v>599</v>
      </c>
      <c r="J211" s="10">
        <v>0.2</v>
      </c>
      <c r="K211" s="12">
        <v>958.4</v>
      </c>
      <c r="L211" s="1" t="s">
        <v>54</v>
      </c>
    </row>
    <row r="212" spans="1:12" x14ac:dyDescent="0.2">
      <c r="A212" s="1" t="s">
        <v>317</v>
      </c>
      <c r="B212" s="2">
        <v>45130</v>
      </c>
      <c r="C212" s="1" t="s">
        <v>36</v>
      </c>
      <c r="D212" s="1" t="s">
        <v>50</v>
      </c>
      <c r="E212" s="1" t="s">
        <v>51</v>
      </c>
      <c r="F212" s="1" t="s">
        <v>28</v>
      </c>
      <c r="G212" s="1" t="s">
        <v>91</v>
      </c>
      <c r="H212" s="3">
        <v>1</v>
      </c>
      <c r="I212" s="11">
        <v>799</v>
      </c>
      <c r="J212" s="10">
        <v>0.15</v>
      </c>
      <c r="K212" s="12">
        <v>679.15</v>
      </c>
      <c r="L212" s="1" t="s">
        <v>39</v>
      </c>
    </row>
    <row r="213" spans="1:12" x14ac:dyDescent="0.2">
      <c r="A213" s="1" t="s">
        <v>318</v>
      </c>
      <c r="B213" s="2">
        <v>45125</v>
      </c>
      <c r="C213" s="1" t="s">
        <v>20</v>
      </c>
      <c r="D213" s="1" t="s">
        <v>21</v>
      </c>
      <c r="E213" s="1" t="s">
        <v>22</v>
      </c>
      <c r="F213" s="1" t="s">
        <v>16</v>
      </c>
      <c r="G213" s="1" t="s">
        <v>170</v>
      </c>
      <c r="H213" s="3">
        <v>8</v>
      </c>
      <c r="I213" s="11">
        <v>999</v>
      </c>
      <c r="J213" s="10">
        <v>0.2</v>
      </c>
      <c r="K213" s="12">
        <v>6393.6</v>
      </c>
      <c r="L213" s="1" t="s">
        <v>54</v>
      </c>
    </row>
    <row r="214" spans="1:12" x14ac:dyDescent="0.2">
      <c r="A214" s="1" t="s">
        <v>319</v>
      </c>
      <c r="B214" s="2">
        <v>45282</v>
      </c>
      <c r="C214" s="1" t="s">
        <v>123</v>
      </c>
      <c r="D214" s="1" t="s">
        <v>45</v>
      </c>
      <c r="E214" s="1" t="s">
        <v>46</v>
      </c>
      <c r="F214" s="1" t="s">
        <v>37</v>
      </c>
      <c r="G214" s="1" t="s">
        <v>89</v>
      </c>
      <c r="H214" s="3">
        <v>2</v>
      </c>
      <c r="I214" s="11">
        <v>9999</v>
      </c>
      <c r="J214" s="10">
        <v>0.05</v>
      </c>
      <c r="K214" s="12">
        <v>18998.099999999999</v>
      </c>
      <c r="L214" s="1" t="s">
        <v>30</v>
      </c>
    </row>
    <row r="215" spans="1:12" x14ac:dyDescent="0.2">
      <c r="A215" s="1" t="s">
        <v>320</v>
      </c>
      <c r="B215" s="2">
        <v>44971</v>
      </c>
      <c r="C215" s="1" t="s">
        <v>36</v>
      </c>
      <c r="D215" s="1" t="s">
        <v>98</v>
      </c>
      <c r="E215" s="1" t="s">
        <v>46</v>
      </c>
      <c r="F215" s="1" t="s">
        <v>37</v>
      </c>
      <c r="G215" s="1" t="s">
        <v>219</v>
      </c>
      <c r="H215" s="3">
        <v>9</v>
      </c>
      <c r="I215" s="11">
        <v>1999</v>
      </c>
      <c r="J215" s="10">
        <v>0.1</v>
      </c>
      <c r="K215" s="12">
        <v>16191.9</v>
      </c>
      <c r="L215" s="1" t="s">
        <v>25</v>
      </c>
    </row>
    <row r="216" spans="1:12" x14ac:dyDescent="0.2">
      <c r="A216" s="1" t="s">
        <v>321</v>
      </c>
      <c r="B216" s="2">
        <v>45291</v>
      </c>
      <c r="C216" s="1" t="s">
        <v>460</v>
      </c>
      <c r="D216" s="1" t="s">
        <v>98</v>
      </c>
      <c r="E216" s="1" t="s">
        <v>46</v>
      </c>
      <c r="F216" s="1" t="s">
        <v>28</v>
      </c>
      <c r="G216" s="1" t="s">
        <v>91</v>
      </c>
      <c r="H216" s="3">
        <v>4</v>
      </c>
      <c r="I216" s="11">
        <v>599</v>
      </c>
      <c r="J216" s="10">
        <v>0.05</v>
      </c>
      <c r="K216" s="12">
        <v>2276.1999999999998</v>
      </c>
      <c r="L216" s="1" t="s">
        <v>30</v>
      </c>
    </row>
    <row r="217" spans="1:12" x14ac:dyDescent="0.2">
      <c r="A217" s="1" t="s">
        <v>322</v>
      </c>
      <c r="B217" s="2">
        <v>44940</v>
      </c>
      <c r="C217" s="1" t="s">
        <v>78</v>
      </c>
      <c r="D217" s="1" t="s">
        <v>70</v>
      </c>
      <c r="E217" s="1" t="s">
        <v>15</v>
      </c>
      <c r="F217" s="1" t="s">
        <v>58</v>
      </c>
      <c r="G217" s="1" t="s">
        <v>146</v>
      </c>
      <c r="H217" s="3">
        <v>9</v>
      </c>
      <c r="I217" s="11">
        <v>599</v>
      </c>
      <c r="J217" s="10">
        <v>0.2</v>
      </c>
      <c r="K217" s="12">
        <v>4312.8</v>
      </c>
      <c r="L217" s="1" t="s">
        <v>18</v>
      </c>
    </row>
    <row r="218" spans="1:12" x14ac:dyDescent="0.2">
      <c r="A218" s="1" t="s">
        <v>323</v>
      </c>
      <c r="B218" s="2">
        <v>44960</v>
      </c>
      <c r="C218" s="1" t="s">
        <v>82</v>
      </c>
      <c r="D218" s="1" t="s">
        <v>66</v>
      </c>
      <c r="E218" s="1" t="s">
        <v>15</v>
      </c>
      <c r="F218" s="1" t="s">
        <v>52</v>
      </c>
      <c r="G218" s="1" t="s">
        <v>202</v>
      </c>
      <c r="H218" s="3">
        <v>7</v>
      </c>
      <c r="I218" s="11">
        <v>4999</v>
      </c>
      <c r="J218" s="10">
        <v>0.2</v>
      </c>
      <c r="K218" s="12">
        <v>27994.400000000001</v>
      </c>
      <c r="L218" s="1" t="s">
        <v>18</v>
      </c>
    </row>
    <row r="219" spans="1:12" x14ac:dyDescent="0.2">
      <c r="A219" s="1" t="s">
        <v>324</v>
      </c>
      <c r="B219" s="2">
        <v>44991</v>
      </c>
      <c r="C219" s="1" t="s">
        <v>36</v>
      </c>
      <c r="D219" s="1" t="s">
        <v>21</v>
      </c>
      <c r="E219" s="1" t="s">
        <v>22</v>
      </c>
      <c r="F219" s="1" t="s">
        <v>52</v>
      </c>
      <c r="G219" s="1" t="s">
        <v>177</v>
      </c>
      <c r="H219" s="3">
        <v>9</v>
      </c>
      <c r="I219" s="11">
        <v>2999</v>
      </c>
      <c r="J219" s="10">
        <v>0.05</v>
      </c>
      <c r="K219" s="12">
        <v>25641.45</v>
      </c>
      <c r="L219" s="1" t="s">
        <v>39</v>
      </c>
    </row>
    <row r="220" spans="1:12" x14ac:dyDescent="0.2">
      <c r="A220" s="1" t="s">
        <v>325</v>
      </c>
      <c r="B220" s="2">
        <v>45254</v>
      </c>
      <c r="C220" s="1" t="s">
        <v>44</v>
      </c>
      <c r="D220" s="1" t="s">
        <v>64</v>
      </c>
      <c r="E220" s="1" t="s">
        <v>46</v>
      </c>
      <c r="F220" s="1" t="s">
        <v>33</v>
      </c>
      <c r="G220" s="1" t="s">
        <v>119</v>
      </c>
      <c r="H220" s="3">
        <v>9</v>
      </c>
      <c r="I220" s="11">
        <v>299</v>
      </c>
      <c r="J220" s="10">
        <v>0</v>
      </c>
      <c r="K220" s="12">
        <v>2691</v>
      </c>
      <c r="L220" s="1" t="s">
        <v>39</v>
      </c>
    </row>
    <row r="221" spans="1:12" x14ac:dyDescent="0.2">
      <c r="A221" s="1" t="s">
        <v>326</v>
      </c>
      <c r="B221" s="2">
        <v>45005</v>
      </c>
      <c r="C221" s="1" t="s">
        <v>82</v>
      </c>
      <c r="D221" s="1" t="s">
        <v>64</v>
      </c>
      <c r="E221" s="1" t="s">
        <v>46</v>
      </c>
      <c r="F221" s="1" t="s">
        <v>33</v>
      </c>
      <c r="G221" s="1" t="s">
        <v>188</v>
      </c>
      <c r="H221" s="3">
        <v>4</v>
      </c>
      <c r="I221" s="11">
        <v>2999</v>
      </c>
      <c r="J221" s="10">
        <v>0.2</v>
      </c>
      <c r="K221" s="12">
        <v>9596.7999999999993</v>
      </c>
      <c r="L221" s="1" t="s">
        <v>54</v>
      </c>
    </row>
    <row r="222" spans="1:12" x14ac:dyDescent="0.2">
      <c r="A222" s="1" t="s">
        <v>327</v>
      </c>
      <c r="B222" s="2">
        <v>44967</v>
      </c>
      <c r="C222" s="1" t="s">
        <v>32</v>
      </c>
      <c r="D222" s="1" t="s">
        <v>45</v>
      </c>
      <c r="E222" s="1" t="s">
        <v>46</v>
      </c>
      <c r="F222" s="1" t="s">
        <v>16</v>
      </c>
      <c r="G222" s="1" t="s">
        <v>17</v>
      </c>
      <c r="H222" s="3">
        <v>5</v>
      </c>
      <c r="I222" s="11">
        <v>49999</v>
      </c>
      <c r="J222" s="10">
        <v>0</v>
      </c>
      <c r="K222" s="12">
        <v>249995</v>
      </c>
      <c r="L222" s="1" t="s">
        <v>39</v>
      </c>
    </row>
    <row r="223" spans="1:12" x14ac:dyDescent="0.2">
      <c r="A223" s="1" t="s">
        <v>328</v>
      </c>
      <c r="B223" s="2">
        <v>45255</v>
      </c>
      <c r="C223" s="1" t="s">
        <v>75</v>
      </c>
      <c r="D223" s="1" t="s">
        <v>111</v>
      </c>
      <c r="E223" s="1" t="s">
        <v>22</v>
      </c>
      <c r="F223" s="1" t="s">
        <v>33</v>
      </c>
      <c r="G223" s="1" t="s">
        <v>142</v>
      </c>
      <c r="H223" s="3">
        <v>10</v>
      </c>
      <c r="I223" s="11">
        <v>2499</v>
      </c>
      <c r="J223" s="10">
        <v>0.2</v>
      </c>
      <c r="K223" s="12">
        <v>19992</v>
      </c>
      <c r="L223" s="1" t="s">
        <v>18</v>
      </c>
    </row>
    <row r="224" spans="1:12" x14ac:dyDescent="0.2">
      <c r="A224" s="1" t="s">
        <v>329</v>
      </c>
      <c r="B224" s="2">
        <v>44941</v>
      </c>
      <c r="C224" s="1" t="s">
        <v>61</v>
      </c>
      <c r="D224" s="1" t="s">
        <v>14</v>
      </c>
      <c r="E224" s="1" t="s">
        <v>15</v>
      </c>
      <c r="F224" s="1" t="s">
        <v>16</v>
      </c>
      <c r="G224" s="1" t="s">
        <v>227</v>
      </c>
      <c r="H224" s="3">
        <v>4</v>
      </c>
      <c r="I224" s="11">
        <v>4999</v>
      </c>
      <c r="J224" s="10">
        <v>0.2</v>
      </c>
      <c r="K224" s="12">
        <v>15996.8</v>
      </c>
      <c r="L224" s="1" t="s">
        <v>18</v>
      </c>
    </row>
    <row r="225" spans="1:12" x14ac:dyDescent="0.2">
      <c r="A225" s="1" t="s">
        <v>330</v>
      </c>
      <c r="B225" s="2">
        <v>45181</v>
      </c>
      <c r="C225" s="1" t="s">
        <v>20</v>
      </c>
      <c r="D225" s="1" t="s">
        <v>50</v>
      </c>
      <c r="E225" s="1" t="s">
        <v>51</v>
      </c>
      <c r="F225" s="1" t="s">
        <v>16</v>
      </c>
      <c r="G225" s="1" t="s">
        <v>73</v>
      </c>
      <c r="H225" s="3">
        <v>4</v>
      </c>
      <c r="I225" s="11">
        <v>3999</v>
      </c>
      <c r="J225" s="10">
        <v>0.1</v>
      </c>
      <c r="K225" s="12">
        <v>14396.4</v>
      </c>
      <c r="L225" s="1" t="s">
        <v>30</v>
      </c>
    </row>
    <row r="226" spans="1:12" x14ac:dyDescent="0.2">
      <c r="A226" s="1" t="s">
        <v>331</v>
      </c>
      <c r="B226" s="2">
        <v>44964</v>
      </c>
      <c r="C226" s="1" t="s">
        <v>41</v>
      </c>
      <c r="D226" s="1" t="s">
        <v>64</v>
      </c>
      <c r="E226" s="1" t="s">
        <v>46</v>
      </c>
      <c r="F226" s="1" t="s">
        <v>52</v>
      </c>
      <c r="G226" s="1" t="s">
        <v>177</v>
      </c>
      <c r="H226" s="3">
        <v>8</v>
      </c>
      <c r="I226" s="11">
        <v>9999</v>
      </c>
      <c r="J226" s="10">
        <v>0.05</v>
      </c>
      <c r="K226" s="12">
        <v>75992.399999999994</v>
      </c>
      <c r="L226" s="1" t="s">
        <v>54</v>
      </c>
    </row>
    <row r="227" spans="1:12" x14ac:dyDescent="0.2">
      <c r="A227" s="1" t="s">
        <v>332</v>
      </c>
      <c r="B227" s="2">
        <v>45237</v>
      </c>
      <c r="C227" s="1" t="s">
        <v>115</v>
      </c>
      <c r="D227" s="1" t="s">
        <v>98</v>
      </c>
      <c r="E227" s="1" t="s">
        <v>46</v>
      </c>
      <c r="F227" s="1" t="s">
        <v>58</v>
      </c>
      <c r="G227" s="1" t="s">
        <v>175</v>
      </c>
      <c r="H227" s="3">
        <v>6</v>
      </c>
      <c r="I227" s="11">
        <v>3999</v>
      </c>
      <c r="J227" s="10">
        <v>0.05</v>
      </c>
      <c r="K227" s="12">
        <v>22794.3</v>
      </c>
      <c r="L227" s="1" t="s">
        <v>54</v>
      </c>
    </row>
    <row r="228" spans="1:12" x14ac:dyDescent="0.2">
      <c r="A228" s="1" t="s">
        <v>333</v>
      </c>
      <c r="B228" s="2">
        <v>45190</v>
      </c>
      <c r="C228" s="1" t="s">
        <v>20</v>
      </c>
      <c r="D228" s="1" t="s">
        <v>21</v>
      </c>
      <c r="E228" s="1" t="s">
        <v>22</v>
      </c>
      <c r="F228" s="1" t="s">
        <v>58</v>
      </c>
      <c r="G228" s="1" t="s">
        <v>62</v>
      </c>
      <c r="H228" s="3">
        <v>8</v>
      </c>
      <c r="I228" s="11">
        <v>499</v>
      </c>
      <c r="J228" s="10">
        <v>0.1</v>
      </c>
      <c r="K228" s="12">
        <v>3592.8</v>
      </c>
      <c r="L228" s="1" t="s">
        <v>30</v>
      </c>
    </row>
    <row r="229" spans="1:12" x14ac:dyDescent="0.2">
      <c r="A229" s="1" t="s">
        <v>334</v>
      </c>
      <c r="B229" s="2">
        <v>45053</v>
      </c>
      <c r="C229" s="1" t="s">
        <v>115</v>
      </c>
      <c r="D229" s="1" t="s">
        <v>21</v>
      </c>
      <c r="E229" s="1" t="s">
        <v>22</v>
      </c>
      <c r="F229" s="1" t="s">
        <v>79</v>
      </c>
      <c r="G229" s="1" t="s">
        <v>165</v>
      </c>
      <c r="H229" s="3">
        <v>7</v>
      </c>
      <c r="I229" s="11">
        <v>4999</v>
      </c>
      <c r="J229" s="10">
        <v>0.05</v>
      </c>
      <c r="K229" s="12">
        <v>33243.35</v>
      </c>
      <c r="L229" s="1" t="s">
        <v>25</v>
      </c>
    </row>
    <row r="230" spans="1:12" x14ac:dyDescent="0.2">
      <c r="A230" s="1" t="s">
        <v>335</v>
      </c>
      <c r="B230" s="2">
        <v>45094</v>
      </c>
      <c r="C230" s="1" t="s">
        <v>44</v>
      </c>
      <c r="D230" s="1" t="s">
        <v>98</v>
      </c>
      <c r="E230" s="1" t="s">
        <v>46</v>
      </c>
      <c r="F230" s="1" t="s">
        <v>28</v>
      </c>
      <c r="G230" s="1" t="s">
        <v>149</v>
      </c>
      <c r="H230" s="3">
        <v>8</v>
      </c>
      <c r="I230" s="11">
        <v>24999</v>
      </c>
      <c r="J230" s="10">
        <v>0.15</v>
      </c>
      <c r="K230" s="12">
        <v>169993.2</v>
      </c>
      <c r="L230" s="1" t="s">
        <v>30</v>
      </c>
    </row>
    <row r="231" spans="1:12" x14ac:dyDescent="0.2">
      <c r="A231" s="1" t="s">
        <v>336</v>
      </c>
      <c r="B231" s="2">
        <v>45084</v>
      </c>
      <c r="C231" s="1" t="s">
        <v>123</v>
      </c>
      <c r="D231" s="1" t="s">
        <v>14</v>
      </c>
      <c r="E231" s="1" t="s">
        <v>15</v>
      </c>
      <c r="F231" s="1" t="s">
        <v>37</v>
      </c>
      <c r="G231" s="1" t="s">
        <v>38</v>
      </c>
      <c r="H231" s="3">
        <v>9</v>
      </c>
      <c r="I231" s="11">
        <v>9999</v>
      </c>
      <c r="J231" s="10">
        <v>0.05</v>
      </c>
      <c r="K231" s="12">
        <v>85491.45</v>
      </c>
      <c r="L231" s="1" t="s">
        <v>25</v>
      </c>
    </row>
    <row r="232" spans="1:12" x14ac:dyDescent="0.2">
      <c r="A232" s="1" t="s">
        <v>337</v>
      </c>
      <c r="B232" s="2">
        <v>45225</v>
      </c>
      <c r="C232" s="1" t="s">
        <v>78</v>
      </c>
      <c r="D232" s="1" t="s">
        <v>14</v>
      </c>
      <c r="E232" s="1" t="s">
        <v>15</v>
      </c>
      <c r="F232" s="1" t="s">
        <v>79</v>
      </c>
      <c r="G232" s="1" t="s">
        <v>165</v>
      </c>
      <c r="H232" s="3">
        <v>8</v>
      </c>
      <c r="I232" s="11">
        <v>14999</v>
      </c>
      <c r="J232" s="10">
        <v>0.1</v>
      </c>
      <c r="K232" s="12">
        <v>107992.8</v>
      </c>
      <c r="L232" s="1" t="s">
        <v>39</v>
      </c>
    </row>
    <row r="233" spans="1:12" x14ac:dyDescent="0.2">
      <c r="A233" s="1" t="s">
        <v>338</v>
      </c>
      <c r="B233" s="2">
        <v>44931</v>
      </c>
      <c r="C233" s="1" t="s">
        <v>13</v>
      </c>
      <c r="D233" s="1" t="s">
        <v>66</v>
      </c>
      <c r="E233" s="1" t="s">
        <v>15</v>
      </c>
      <c r="F233" s="1" t="s">
        <v>33</v>
      </c>
      <c r="G233" s="1" t="s">
        <v>188</v>
      </c>
      <c r="H233" s="3">
        <v>6</v>
      </c>
      <c r="I233" s="11">
        <v>3999</v>
      </c>
      <c r="J233" s="10">
        <v>0.1</v>
      </c>
      <c r="K233" s="12">
        <v>21594.6</v>
      </c>
      <c r="L233" s="1" t="s">
        <v>18</v>
      </c>
    </row>
    <row r="234" spans="1:12" x14ac:dyDescent="0.2">
      <c r="A234" s="1" t="s">
        <v>339</v>
      </c>
      <c r="B234" s="2">
        <v>45132</v>
      </c>
      <c r="C234" s="1" t="s">
        <v>41</v>
      </c>
      <c r="D234" s="1" t="s">
        <v>111</v>
      </c>
      <c r="E234" s="1" t="s">
        <v>22</v>
      </c>
      <c r="F234" s="1" t="s">
        <v>28</v>
      </c>
      <c r="G234" s="1" t="s">
        <v>93</v>
      </c>
      <c r="H234" s="3">
        <v>9</v>
      </c>
      <c r="I234" s="11">
        <v>1999</v>
      </c>
      <c r="J234" s="10">
        <v>0</v>
      </c>
      <c r="K234" s="12">
        <v>17991</v>
      </c>
      <c r="L234" s="1" t="s">
        <v>30</v>
      </c>
    </row>
    <row r="235" spans="1:12" x14ac:dyDescent="0.2">
      <c r="A235" s="1" t="s">
        <v>340</v>
      </c>
      <c r="B235" s="2">
        <v>45185</v>
      </c>
      <c r="C235" s="1" t="s">
        <v>69</v>
      </c>
      <c r="D235" s="1" t="s">
        <v>70</v>
      </c>
      <c r="E235" s="1" t="s">
        <v>15</v>
      </c>
      <c r="F235" s="1" t="s">
        <v>16</v>
      </c>
      <c r="G235" s="1" t="s">
        <v>71</v>
      </c>
      <c r="H235" s="3">
        <v>10</v>
      </c>
      <c r="I235" s="11">
        <v>499</v>
      </c>
      <c r="J235" s="10">
        <v>0.05</v>
      </c>
      <c r="K235" s="12">
        <v>4740.5</v>
      </c>
      <c r="L235" s="1" t="s">
        <v>18</v>
      </c>
    </row>
    <row r="236" spans="1:12" x14ac:dyDescent="0.2">
      <c r="A236" s="1" t="s">
        <v>341</v>
      </c>
      <c r="B236" s="2">
        <v>45128</v>
      </c>
      <c r="C236" s="1" t="s">
        <v>78</v>
      </c>
      <c r="D236" s="1" t="s">
        <v>98</v>
      </c>
      <c r="E236" s="1" t="s">
        <v>46</v>
      </c>
      <c r="F236" s="1" t="s">
        <v>58</v>
      </c>
      <c r="G236" s="1" t="s">
        <v>62</v>
      </c>
      <c r="H236" s="3">
        <v>4</v>
      </c>
      <c r="I236" s="11">
        <v>24999</v>
      </c>
      <c r="J236" s="10">
        <v>0.15</v>
      </c>
      <c r="K236" s="12">
        <v>84996.6</v>
      </c>
      <c r="L236" s="1" t="s">
        <v>39</v>
      </c>
    </row>
    <row r="237" spans="1:12" x14ac:dyDescent="0.2">
      <c r="A237" s="1" t="s">
        <v>342</v>
      </c>
      <c r="B237" s="2">
        <v>44947</v>
      </c>
      <c r="C237" s="1" t="s">
        <v>41</v>
      </c>
      <c r="D237" s="1" t="s">
        <v>14</v>
      </c>
      <c r="E237" s="1" t="s">
        <v>15</v>
      </c>
      <c r="F237" s="1" t="s">
        <v>33</v>
      </c>
      <c r="G237" s="1" t="s">
        <v>34</v>
      </c>
      <c r="H237" s="3">
        <v>6</v>
      </c>
      <c r="I237" s="11">
        <v>14999</v>
      </c>
      <c r="J237" s="10">
        <v>0.2</v>
      </c>
      <c r="K237" s="12">
        <v>71995.199999999997</v>
      </c>
      <c r="L237" s="1" t="s">
        <v>30</v>
      </c>
    </row>
    <row r="238" spans="1:12" x14ac:dyDescent="0.2">
      <c r="A238" s="1" t="s">
        <v>343</v>
      </c>
      <c r="B238" s="2">
        <v>45003</v>
      </c>
      <c r="C238" s="1" t="s">
        <v>27</v>
      </c>
      <c r="D238" s="1" t="s">
        <v>70</v>
      </c>
      <c r="E238" s="1" t="s">
        <v>15</v>
      </c>
      <c r="F238" s="1" t="s">
        <v>33</v>
      </c>
      <c r="G238" s="1" t="s">
        <v>188</v>
      </c>
      <c r="H238" s="3">
        <v>10</v>
      </c>
      <c r="I238" s="11">
        <v>2499</v>
      </c>
      <c r="J238" s="10">
        <v>0.05</v>
      </c>
      <c r="K238" s="12">
        <v>23740.5</v>
      </c>
      <c r="L238" s="1" t="s">
        <v>30</v>
      </c>
    </row>
    <row r="239" spans="1:12" x14ac:dyDescent="0.2">
      <c r="A239" s="1" t="s">
        <v>344</v>
      </c>
      <c r="B239" s="2">
        <v>45242</v>
      </c>
      <c r="C239" s="1" t="s">
        <v>82</v>
      </c>
      <c r="D239" s="1" t="s">
        <v>111</v>
      </c>
      <c r="E239" s="1" t="s">
        <v>22</v>
      </c>
      <c r="F239" s="1" t="s">
        <v>58</v>
      </c>
      <c r="G239" s="1" t="s">
        <v>215</v>
      </c>
      <c r="H239" s="3">
        <v>9</v>
      </c>
      <c r="I239" s="11">
        <v>49999</v>
      </c>
      <c r="J239" s="10">
        <v>0.15</v>
      </c>
      <c r="K239" s="12">
        <v>382492.35</v>
      </c>
      <c r="L239" s="1" t="s">
        <v>39</v>
      </c>
    </row>
    <row r="240" spans="1:12" x14ac:dyDescent="0.2">
      <c r="A240" s="1" t="s">
        <v>345</v>
      </c>
      <c r="B240" s="2">
        <v>45080</v>
      </c>
      <c r="C240" s="1" t="s">
        <v>123</v>
      </c>
      <c r="D240" s="1" t="s">
        <v>14</v>
      </c>
      <c r="E240" s="1" t="s">
        <v>15</v>
      </c>
      <c r="F240" s="1" t="s">
        <v>58</v>
      </c>
      <c r="G240" s="1" t="s">
        <v>113</v>
      </c>
      <c r="H240" s="3">
        <v>2</v>
      </c>
      <c r="I240" s="11">
        <v>4999</v>
      </c>
      <c r="J240" s="10">
        <v>0.2</v>
      </c>
      <c r="K240" s="12">
        <v>7998.4</v>
      </c>
      <c r="L240" s="1" t="s">
        <v>54</v>
      </c>
    </row>
    <row r="241" spans="1:12" x14ac:dyDescent="0.2">
      <c r="A241" s="1" t="s">
        <v>346</v>
      </c>
      <c r="B241" s="2">
        <v>45279</v>
      </c>
      <c r="C241" s="1" t="s">
        <v>126</v>
      </c>
      <c r="D241" s="1" t="s">
        <v>111</v>
      </c>
      <c r="E241" s="1" t="s">
        <v>22</v>
      </c>
      <c r="F241" s="1" t="s">
        <v>52</v>
      </c>
      <c r="G241" s="1" t="s">
        <v>116</v>
      </c>
      <c r="H241" s="3">
        <v>10</v>
      </c>
      <c r="I241" s="11">
        <v>1299</v>
      </c>
      <c r="J241" s="10">
        <v>0.25</v>
      </c>
      <c r="K241" s="12">
        <v>9742.5</v>
      </c>
      <c r="L241" s="1" t="s">
        <v>18</v>
      </c>
    </row>
    <row r="242" spans="1:12" x14ac:dyDescent="0.2">
      <c r="A242" s="1" t="s">
        <v>347</v>
      </c>
      <c r="B242" s="2">
        <v>45225</v>
      </c>
      <c r="C242" s="1" t="s">
        <v>123</v>
      </c>
      <c r="D242" s="1" t="s">
        <v>64</v>
      </c>
      <c r="E242" s="1" t="s">
        <v>46</v>
      </c>
      <c r="F242" s="1" t="s">
        <v>23</v>
      </c>
      <c r="G242" s="1" t="s">
        <v>128</v>
      </c>
      <c r="H242" s="3">
        <v>4</v>
      </c>
      <c r="I242" s="11">
        <v>299</v>
      </c>
      <c r="J242" s="10">
        <v>0.2</v>
      </c>
      <c r="K242" s="12">
        <v>956.8</v>
      </c>
      <c r="L242" s="1" t="s">
        <v>18</v>
      </c>
    </row>
    <row r="243" spans="1:12" x14ac:dyDescent="0.2">
      <c r="A243" s="1" t="s">
        <v>348</v>
      </c>
      <c r="B243" s="2">
        <v>45024</v>
      </c>
      <c r="C243" s="1" t="s">
        <v>126</v>
      </c>
      <c r="D243" s="1" t="s">
        <v>42</v>
      </c>
      <c r="E243" s="1" t="s">
        <v>15</v>
      </c>
      <c r="F243" s="1" t="s">
        <v>58</v>
      </c>
      <c r="G243" s="1" t="s">
        <v>146</v>
      </c>
      <c r="H243" s="3">
        <v>3</v>
      </c>
      <c r="I243" s="11">
        <v>4999</v>
      </c>
      <c r="J243" s="10">
        <v>0.25</v>
      </c>
      <c r="K243" s="12">
        <v>11247.75</v>
      </c>
      <c r="L243" s="1" t="s">
        <v>25</v>
      </c>
    </row>
    <row r="244" spans="1:12" x14ac:dyDescent="0.2">
      <c r="A244" s="1" t="s">
        <v>349</v>
      </c>
      <c r="B244" s="2">
        <v>45137</v>
      </c>
      <c r="C244" s="1" t="s">
        <v>88</v>
      </c>
      <c r="D244" s="1" t="s">
        <v>111</v>
      </c>
      <c r="E244" s="1" t="s">
        <v>22</v>
      </c>
      <c r="F244" s="1" t="s">
        <v>52</v>
      </c>
      <c r="G244" s="1" t="s">
        <v>53</v>
      </c>
      <c r="H244" s="3">
        <v>1</v>
      </c>
      <c r="I244" s="11">
        <v>599</v>
      </c>
      <c r="J244" s="10">
        <v>0.2</v>
      </c>
      <c r="K244" s="12">
        <v>479.2</v>
      </c>
      <c r="L244" s="1" t="s">
        <v>25</v>
      </c>
    </row>
    <row r="245" spans="1:12" x14ac:dyDescent="0.2">
      <c r="A245" s="1" t="s">
        <v>350</v>
      </c>
      <c r="B245" s="2">
        <v>45214</v>
      </c>
      <c r="C245" s="1" t="s">
        <v>36</v>
      </c>
      <c r="D245" s="1" t="s">
        <v>42</v>
      </c>
      <c r="E245" s="1" t="s">
        <v>15</v>
      </c>
      <c r="F245" s="1" t="s">
        <v>23</v>
      </c>
      <c r="G245" s="1" t="s">
        <v>254</v>
      </c>
      <c r="H245" s="3">
        <v>3</v>
      </c>
      <c r="I245" s="11">
        <v>9999</v>
      </c>
      <c r="J245" s="10">
        <v>0.2</v>
      </c>
      <c r="K245" s="12">
        <v>23997.599999999999</v>
      </c>
      <c r="L245" s="1" t="s">
        <v>54</v>
      </c>
    </row>
    <row r="246" spans="1:12" x14ac:dyDescent="0.2">
      <c r="A246" s="1" t="s">
        <v>351</v>
      </c>
      <c r="B246" s="2">
        <v>45206</v>
      </c>
      <c r="C246" s="1" t="s">
        <v>78</v>
      </c>
      <c r="D246" s="1" t="s">
        <v>50</v>
      </c>
      <c r="E246" s="1" t="s">
        <v>51</v>
      </c>
      <c r="F246" s="1" t="s">
        <v>52</v>
      </c>
      <c r="G246" s="1" t="s">
        <v>107</v>
      </c>
      <c r="H246" s="3">
        <v>4</v>
      </c>
      <c r="I246" s="11">
        <v>1499</v>
      </c>
      <c r="J246" s="10">
        <v>0.2</v>
      </c>
      <c r="K246" s="12">
        <v>4796.8</v>
      </c>
      <c r="L246" s="1" t="s">
        <v>54</v>
      </c>
    </row>
    <row r="247" spans="1:12" x14ac:dyDescent="0.2">
      <c r="A247" s="1" t="s">
        <v>352</v>
      </c>
      <c r="B247" s="2">
        <v>45042</v>
      </c>
      <c r="C247" s="1" t="s">
        <v>82</v>
      </c>
      <c r="D247" s="1" t="s">
        <v>50</v>
      </c>
      <c r="E247" s="1" t="s">
        <v>51</v>
      </c>
      <c r="F247" s="1" t="s">
        <v>28</v>
      </c>
      <c r="G247" s="1" t="s">
        <v>29</v>
      </c>
      <c r="H247" s="3">
        <v>8</v>
      </c>
      <c r="I247" s="11">
        <v>2499</v>
      </c>
      <c r="J247" s="10">
        <v>0.15</v>
      </c>
      <c r="K247" s="12">
        <v>16993.2</v>
      </c>
      <c r="L247" s="1" t="s">
        <v>54</v>
      </c>
    </row>
    <row r="248" spans="1:12" x14ac:dyDescent="0.2">
      <c r="A248" s="1" t="s">
        <v>353</v>
      </c>
      <c r="B248" s="2">
        <v>45213</v>
      </c>
      <c r="C248" s="1" t="s">
        <v>32</v>
      </c>
      <c r="D248" s="1" t="s">
        <v>50</v>
      </c>
      <c r="E248" s="1" t="s">
        <v>51</v>
      </c>
      <c r="F248" s="1" t="s">
        <v>37</v>
      </c>
      <c r="G248" s="1" t="s">
        <v>219</v>
      </c>
      <c r="H248" s="3">
        <v>9</v>
      </c>
      <c r="I248" s="11">
        <v>3999</v>
      </c>
      <c r="J248" s="10">
        <v>0.15</v>
      </c>
      <c r="K248" s="12">
        <v>30592.35</v>
      </c>
      <c r="L248" s="1" t="s">
        <v>54</v>
      </c>
    </row>
    <row r="249" spans="1:12" x14ac:dyDescent="0.2">
      <c r="A249" s="1" t="s">
        <v>354</v>
      </c>
      <c r="B249" s="2">
        <v>45001</v>
      </c>
      <c r="C249" s="1" t="s">
        <v>82</v>
      </c>
      <c r="D249" s="1" t="s">
        <v>14</v>
      </c>
      <c r="E249" s="1" t="s">
        <v>15</v>
      </c>
      <c r="F249" s="1" t="s">
        <v>16</v>
      </c>
      <c r="G249" s="1" t="s">
        <v>227</v>
      </c>
      <c r="H249" s="3">
        <v>2</v>
      </c>
      <c r="I249" s="11">
        <v>2999</v>
      </c>
      <c r="J249" s="10">
        <v>0.15</v>
      </c>
      <c r="K249" s="12">
        <v>5098.3</v>
      </c>
      <c r="L249" s="1" t="s">
        <v>54</v>
      </c>
    </row>
    <row r="250" spans="1:12" x14ac:dyDescent="0.2">
      <c r="A250" s="1" t="s">
        <v>355</v>
      </c>
      <c r="B250" s="2">
        <v>45172</v>
      </c>
      <c r="C250" s="1" t="s">
        <v>105</v>
      </c>
      <c r="D250" s="1" t="s">
        <v>45</v>
      </c>
      <c r="E250" s="1" t="s">
        <v>46</v>
      </c>
      <c r="F250" s="1" t="s">
        <v>16</v>
      </c>
      <c r="G250" s="1" t="s">
        <v>71</v>
      </c>
      <c r="H250" s="3">
        <v>5</v>
      </c>
      <c r="I250" s="11">
        <v>599</v>
      </c>
      <c r="J250" s="10">
        <v>0</v>
      </c>
      <c r="K250" s="12">
        <v>2995</v>
      </c>
      <c r="L250" s="1" t="s">
        <v>39</v>
      </c>
    </row>
    <row r="251" spans="1:12" x14ac:dyDescent="0.2">
      <c r="A251" s="1" t="s">
        <v>356</v>
      </c>
      <c r="B251" s="2">
        <v>45227</v>
      </c>
      <c r="C251" s="1" t="s">
        <v>183</v>
      </c>
      <c r="D251" s="1" t="s">
        <v>45</v>
      </c>
      <c r="E251" s="1" t="s">
        <v>46</v>
      </c>
      <c r="F251" s="1" t="s">
        <v>79</v>
      </c>
      <c r="G251" s="1" t="s">
        <v>289</v>
      </c>
      <c r="H251" s="3">
        <v>9</v>
      </c>
      <c r="I251" s="11">
        <v>1299</v>
      </c>
      <c r="J251" s="10">
        <v>0.25</v>
      </c>
      <c r="K251" s="12">
        <v>8768.25</v>
      </c>
      <c r="L251" s="1" t="s">
        <v>25</v>
      </c>
    </row>
    <row r="252" spans="1:12" x14ac:dyDescent="0.2">
      <c r="A252" s="1" t="s">
        <v>357</v>
      </c>
      <c r="B252" s="2">
        <v>44953</v>
      </c>
      <c r="C252" s="1" t="s">
        <v>13</v>
      </c>
      <c r="D252" s="1" t="s">
        <v>66</v>
      </c>
      <c r="E252" s="1" t="s">
        <v>15</v>
      </c>
      <c r="F252" s="1" t="s">
        <v>58</v>
      </c>
      <c r="G252" s="1" t="s">
        <v>175</v>
      </c>
      <c r="H252" s="3">
        <v>8</v>
      </c>
      <c r="I252" s="11">
        <v>499</v>
      </c>
      <c r="J252" s="10">
        <v>0.25</v>
      </c>
      <c r="K252" s="12">
        <v>2994</v>
      </c>
      <c r="L252" s="1" t="s">
        <v>25</v>
      </c>
    </row>
    <row r="253" spans="1:12" x14ac:dyDescent="0.2">
      <c r="A253" s="1" t="s">
        <v>358</v>
      </c>
      <c r="B253" s="2">
        <v>44929</v>
      </c>
      <c r="C253" s="1" t="s">
        <v>20</v>
      </c>
      <c r="D253" s="1" t="s">
        <v>64</v>
      </c>
      <c r="E253" s="1" t="s">
        <v>46</v>
      </c>
      <c r="F253" s="1" t="s">
        <v>23</v>
      </c>
      <c r="G253" s="1" t="s">
        <v>135</v>
      </c>
      <c r="H253" s="3">
        <v>8</v>
      </c>
      <c r="I253" s="11">
        <v>14999</v>
      </c>
      <c r="J253" s="10">
        <v>0.25</v>
      </c>
      <c r="K253" s="12">
        <v>89994</v>
      </c>
      <c r="L253" s="1" t="s">
        <v>25</v>
      </c>
    </row>
    <row r="254" spans="1:12" x14ac:dyDescent="0.2">
      <c r="A254" s="1" t="s">
        <v>359</v>
      </c>
      <c r="B254" s="2">
        <v>45074</v>
      </c>
      <c r="C254" s="1" t="s">
        <v>36</v>
      </c>
      <c r="D254" s="1" t="s">
        <v>50</v>
      </c>
      <c r="E254" s="1" t="s">
        <v>51</v>
      </c>
      <c r="F254" s="1" t="s">
        <v>79</v>
      </c>
      <c r="G254" s="1" t="s">
        <v>103</v>
      </c>
      <c r="H254" s="3">
        <v>10</v>
      </c>
      <c r="I254" s="11">
        <v>1299</v>
      </c>
      <c r="J254" s="10">
        <v>0.2</v>
      </c>
      <c r="K254" s="12">
        <v>10392</v>
      </c>
      <c r="L254" s="1" t="s">
        <v>18</v>
      </c>
    </row>
    <row r="255" spans="1:12" x14ac:dyDescent="0.2">
      <c r="A255" s="1" t="s">
        <v>360</v>
      </c>
      <c r="B255" s="2">
        <v>45016</v>
      </c>
      <c r="C255" s="1" t="s">
        <v>97</v>
      </c>
      <c r="D255" s="1" t="s">
        <v>64</v>
      </c>
      <c r="E255" s="1" t="s">
        <v>46</v>
      </c>
      <c r="F255" s="1" t="s">
        <v>79</v>
      </c>
      <c r="G255" s="1" t="s">
        <v>162</v>
      </c>
      <c r="H255" s="3">
        <v>8</v>
      </c>
      <c r="I255" s="11">
        <v>799</v>
      </c>
      <c r="J255" s="10">
        <v>0.25</v>
      </c>
      <c r="K255" s="12">
        <v>4794</v>
      </c>
      <c r="L255" s="1" t="s">
        <v>54</v>
      </c>
    </row>
    <row r="256" spans="1:12" x14ac:dyDescent="0.2">
      <c r="A256" s="1" t="s">
        <v>361</v>
      </c>
      <c r="B256" s="2">
        <v>44946</v>
      </c>
      <c r="C256" s="1" t="s">
        <v>126</v>
      </c>
      <c r="D256" s="1" t="s">
        <v>50</v>
      </c>
      <c r="E256" s="1" t="s">
        <v>51</v>
      </c>
      <c r="F256" s="1" t="s">
        <v>37</v>
      </c>
      <c r="G256" s="1" t="s">
        <v>130</v>
      </c>
      <c r="H256" s="3">
        <v>5</v>
      </c>
      <c r="I256" s="11">
        <v>9999</v>
      </c>
      <c r="J256" s="10">
        <v>0.25</v>
      </c>
      <c r="K256" s="12">
        <v>37496.25</v>
      </c>
      <c r="L256" s="1" t="s">
        <v>39</v>
      </c>
    </row>
    <row r="257" spans="1:12" x14ac:dyDescent="0.2">
      <c r="A257" s="1" t="s">
        <v>362</v>
      </c>
      <c r="B257" s="2">
        <v>45195</v>
      </c>
      <c r="C257" s="1" t="s">
        <v>123</v>
      </c>
      <c r="D257" s="1" t="s">
        <v>64</v>
      </c>
      <c r="E257" s="1" t="s">
        <v>46</v>
      </c>
      <c r="F257" s="1" t="s">
        <v>52</v>
      </c>
      <c r="G257" s="1" t="s">
        <v>116</v>
      </c>
      <c r="H257" s="3">
        <v>4</v>
      </c>
      <c r="I257" s="11">
        <v>499</v>
      </c>
      <c r="J257" s="10">
        <v>0.1</v>
      </c>
      <c r="K257" s="12">
        <v>1796.4</v>
      </c>
      <c r="L257" s="1" t="s">
        <v>25</v>
      </c>
    </row>
    <row r="258" spans="1:12" x14ac:dyDescent="0.2">
      <c r="A258" s="1" t="s">
        <v>363</v>
      </c>
      <c r="B258" s="2">
        <v>45161</v>
      </c>
      <c r="C258" s="1" t="s">
        <v>32</v>
      </c>
      <c r="D258" s="1" t="s">
        <v>64</v>
      </c>
      <c r="E258" s="1" t="s">
        <v>46</v>
      </c>
      <c r="F258" s="1" t="s">
        <v>79</v>
      </c>
      <c r="G258" s="1" t="s">
        <v>289</v>
      </c>
      <c r="H258" s="3">
        <v>6</v>
      </c>
      <c r="I258" s="11">
        <v>1999</v>
      </c>
      <c r="J258" s="10">
        <v>0.2</v>
      </c>
      <c r="K258" s="12">
        <v>9595.2000000000007</v>
      </c>
      <c r="L258" s="1" t="s">
        <v>25</v>
      </c>
    </row>
    <row r="259" spans="1:12" x14ac:dyDescent="0.2">
      <c r="A259" s="1" t="s">
        <v>364</v>
      </c>
      <c r="B259" s="2">
        <v>45016</v>
      </c>
      <c r="C259" s="1" t="s">
        <v>27</v>
      </c>
      <c r="D259" s="1" t="s">
        <v>66</v>
      </c>
      <c r="E259" s="1" t="s">
        <v>15</v>
      </c>
      <c r="F259" s="1" t="s">
        <v>23</v>
      </c>
      <c r="G259" s="1" t="s">
        <v>144</v>
      </c>
      <c r="H259" s="3">
        <v>6</v>
      </c>
      <c r="I259" s="11">
        <v>399</v>
      </c>
      <c r="J259" s="10">
        <v>0.15</v>
      </c>
      <c r="K259" s="12">
        <v>2034.9</v>
      </c>
      <c r="L259" s="1" t="s">
        <v>18</v>
      </c>
    </row>
    <row r="260" spans="1:12" x14ac:dyDescent="0.2">
      <c r="A260" s="1" t="s">
        <v>365</v>
      </c>
      <c r="B260" s="2">
        <v>45021</v>
      </c>
      <c r="C260" s="1" t="s">
        <v>115</v>
      </c>
      <c r="D260" s="1" t="s">
        <v>42</v>
      </c>
      <c r="E260" s="1" t="s">
        <v>15</v>
      </c>
      <c r="F260" s="1" t="s">
        <v>58</v>
      </c>
      <c r="G260" s="1" t="s">
        <v>62</v>
      </c>
      <c r="H260" s="3">
        <v>1</v>
      </c>
      <c r="I260" s="11">
        <v>1499</v>
      </c>
      <c r="J260" s="10">
        <v>0.15</v>
      </c>
      <c r="K260" s="12">
        <v>1274.1500000000001</v>
      </c>
      <c r="L260" s="1" t="s">
        <v>25</v>
      </c>
    </row>
    <row r="261" spans="1:12" x14ac:dyDescent="0.2">
      <c r="A261" s="1" t="s">
        <v>366</v>
      </c>
      <c r="B261" s="2">
        <v>45155</v>
      </c>
      <c r="C261" s="1" t="s">
        <v>32</v>
      </c>
      <c r="D261" s="1" t="s">
        <v>98</v>
      </c>
      <c r="E261" s="1" t="s">
        <v>46</v>
      </c>
      <c r="F261" s="1" t="s">
        <v>16</v>
      </c>
      <c r="G261" s="1" t="s">
        <v>71</v>
      </c>
      <c r="H261" s="3">
        <v>10</v>
      </c>
      <c r="I261" s="11">
        <v>199</v>
      </c>
      <c r="J261" s="10">
        <v>0.1</v>
      </c>
      <c r="K261" s="12">
        <v>1791</v>
      </c>
      <c r="L261" s="1" t="s">
        <v>54</v>
      </c>
    </row>
    <row r="262" spans="1:12" x14ac:dyDescent="0.2">
      <c r="A262" s="1" t="s">
        <v>367</v>
      </c>
      <c r="B262" s="2">
        <v>45281</v>
      </c>
      <c r="C262" s="1" t="s">
        <v>183</v>
      </c>
      <c r="D262" s="1" t="s">
        <v>14</v>
      </c>
      <c r="E262" s="1" t="s">
        <v>15</v>
      </c>
      <c r="F262" s="1" t="s">
        <v>37</v>
      </c>
      <c r="G262" s="1" t="s">
        <v>38</v>
      </c>
      <c r="H262" s="3">
        <v>5</v>
      </c>
      <c r="I262" s="11">
        <v>799</v>
      </c>
      <c r="J262" s="10">
        <v>0.15</v>
      </c>
      <c r="K262" s="12">
        <v>3395.75</v>
      </c>
      <c r="L262" s="1" t="s">
        <v>39</v>
      </c>
    </row>
    <row r="263" spans="1:12" x14ac:dyDescent="0.2">
      <c r="A263" s="1" t="s">
        <v>368</v>
      </c>
      <c r="B263" s="2">
        <v>45287</v>
      </c>
      <c r="C263" s="1" t="s">
        <v>82</v>
      </c>
      <c r="D263" s="1" t="s">
        <v>21</v>
      </c>
      <c r="E263" s="1" t="s">
        <v>22</v>
      </c>
      <c r="F263" s="1" t="s">
        <v>16</v>
      </c>
      <c r="G263" s="1" t="s">
        <v>170</v>
      </c>
      <c r="H263" s="3">
        <v>10</v>
      </c>
      <c r="I263" s="11">
        <v>1299</v>
      </c>
      <c r="J263" s="10">
        <v>0.05</v>
      </c>
      <c r="K263" s="12">
        <v>12340.5</v>
      </c>
      <c r="L263" s="1" t="s">
        <v>25</v>
      </c>
    </row>
    <row r="264" spans="1:12" x14ac:dyDescent="0.2">
      <c r="A264" s="1" t="s">
        <v>369</v>
      </c>
      <c r="B264" s="2">
        <v>45171</v>
      </c>
      <c r="C264" s="1" t="s">
        <v>115</v>
      </c>
      <c r="D264" s="1" t="s">
        <v>42</v>
      </c>
      <c r="E264" s="1" t="s">
        <v>15</v>
      </c>
      <c r="F264" s="1" t="s">
        <v>58</v>
      </c>
      <c r="G264" s="1" t="s">
        <v>146</v>
      </c>
      <c r="H264" s="3">
        <v>9</v>
      </c>
      <c r="I264" s="11">
        <v>14999</v>
      </c>
      <c r="J264" s="10">
        <v>0.2</v>
      </c>
      <c r="K264" s="12">
        <v>107992.8</v>
      </c>
      <c r="L264" s="1" t="s">
        <v>25</v>
      </c>
    </row>
    <row r="265" spans="1:12" x14ac:dyDescent="0.2">
      <c r="A265" s="1" t="s">
        <v>370</v>
      </c>
      <c r="B265" s="2">
        <v>45053</v>
      </c>
      <c r="C265" s="1" t="s">
        <v>27</v>
      </c>
      <c r="D265" s="1" t="s">
        <v>21</v>
      </c>
      <c r="E265" s="1" t="s">
        <v>22</v>
      </c>
      <c r="F265" s="1" t="s">
        <v>52</v>
      </c>
      <c r="G265" s="1" t="s">
        <v>202</v>
      </c>
      <c r="H265" s="3">
        <v>6</v>
      </c>
      <c r="I265" s="11">
        <v>399</v>
      </c>
      <c r="J265" s="10">
        <v>0.2</v>
      </c>
      <c r="K265" s="12">
        <v>1915.2</v>
      </c>
      <c r="L265" s="1" t="s">
        <v>18</v>
      </c>
    </row>
    <row r="266" spans="1:12" x14ac:dyDescent="0.2">
      <c r="A266" s="1" t="s">
        <v>371</v>
      </c>
      <c r="B266" s="2">
        <v>44958</v>
      </c>
      <c r="C266" s="1" t="s">
        <v>20</v>
      </c>
      <c r="D266" s="1" t="s">
        <v>70</v>
      </c>
      <c r="E266" s="1" t="s">
        <v>15</v>
      </c>
      <c r="F266" s="1" t="s">
        <v>28</v>
      </c>
      <c r="G266" s="1" t="s">
        <v>86</v>
      </c>
      <c r="H266" s="3">
        <v>9</v>
      </c>
      <c r="I266" s="11">
        <v>599</v>
      </c>
      <c r="J266" s="10">
        <v>0.05</v>
      </c>
      <c r="K266" s="12">
        <v>5121.45</v>
      </c>
      <c r="L266" s="1" t="s">
        <v>54</v>
      </c>
    </row>
    <row r="267" spans="1:12" x14ac:dyDescent="0.2">
      <c r="A267" s="1" t="s">
        <v>372</v>
      </c>
      <c r="B267" s="2">
        <v>45193</v>
      </c>
      <c r="C267" s="1" t="s">
        <v>69</v>
      </c>
      <c r="D267" s="1" t="s">
        <v>21</v>
      </c>
      <c r="E267" s="1" t="s">
        <v>22</v>
      </c>
      <c r="F267" s="1" t="s">
        <v>28</v>
      </c>
      <c r="G267" s="1" t="s">
        <v>29</v>
      </c>
      <c r="H267" s="3">
        <v>10</v>
      </c>
      <c r="I267" s="11">
        <v>14999</v>
      </c>
      <c r="J267" s="10">
        <v>0</v>
      </c>
      <c r="K267" s="12">
        <v>149990</v>
      </c>
      <c r="L267" s="1" t="s">
        <v>39</v>
      </c>
    </row>
    <row r="268" spans="1:12" x14ac:dyDescent="0.2">
      <c r="A268" s="1" t="s">
        <v>373</v>
      </c>
      <c r="B268" s="2">
        <v>45155</v>
      </c>
      <c r="C268" s="1" t="s">
        <v>41</v>
      </c>
      <c r="D268" s="1" t="s">
        <v>42</v>
      </c>
      <c r="E268" s="1" t="s">
        <v>15</v>
      </c>
      <c r="F268" s="1" t="s">
        <v>33</v>
      </c>
      <c r="G268" s="1" t="s">
        <v>56</v>
      </c>
      <c r="H268" s="3">
        <v>7</v>
      </c>
      <c r="I268" s="11">
        <v>9999</v>
      </c>
      <c r="J268" s="10">
        <v>0.2</v>
      </c>
      <c r="K268" s="12">
        <v>55994.400000000001</v>
      </c>
      <c r="L268" s="1" t="s">
        <v>18</v>
      </c>
    </row>
    <row r="269" spans="1:12" x14ac:dyDescent="0.2">
      <c r="A269" s="1" t="s">
        <v>374</v>
      </c>
      <c r="B269" s="2">
        <v>45213</v>
      </c>
      <c r="C269" s="1" t="s">
        <v>69</v>
      </c>
      <c r="D269" s="1" t="s">
        <v>50</v>
      </c>
      <c r="E269" s="1" t="s">
        <v>51</v>
      </c>
      <c r="F269" s="1" t="s">
        <v>79</v>
      </c>
      <c r="G269" s="1" t="s">
        <v>162</v>
      </c>
      <c r="H269" s="3">
        <v>5</v>
      </c>
      <c r="I269" s="11">
        <v>199</v>
      </c>
      <c r="J269" s="10">
        <v>0.25</v>
      </c>
      <c r="K269" s="12">
        <v>746.25</v>
      </c>
      <c r="L269" s="1" t="s">
        <v>25</v>
      </c>
    </row>
    <row r="270" spans="1:12" x14ac:dyDescent="0.2">
      <c r="A270" s="1" t="s">
        <v>375</v>
      </c>
      <c r="B270" s="2">
        <v>45223</v>
      </c>
      <c r="C270" s="1" t="s">
        <v>61</v>
      </c>
      <c r="D270" s="1" t="s">
        <v>14</v>
      </c>
      <c r="E270" s="1" t="s">
        <v>15</v>
      </c>
      <c r="F270" s="1" t="s">
        <v>23</v>
      </c>
      <c r="G270" s="1" t="s">
        <v>254</v>
      </c>
      <c r="H270" s="3">
        <v>2</v>
      </c>
      <c r="I270" s="11">
        <v>49999</v>
      </c>
      <c r="J270" s="10">
        <v>0</v>
      </c>
      <c r="K270" s="12">
        <v>99998</v>
      </c>
      <c r="L270" s="1" t="s">
        <v>18</v>
      </c>
    </row>
    <row r="271" spans="1:12" x14ac:dyDescent="0.2">
      <c r="A271" s="1" t="s">
        <v>376</v>
      </c>
      <c r="B271" s="2">
        <v>45168</v>
      </c>
      <c r="C271" s="1" t="s">
        <v>41</v>
      </c>
      <c r="D271" s="1" t="s">
        <v>50</v>
      </c>
      <c r="E271" s="1" t="s">
        <v>51</v>
      </c>
      <c r="F271" s="1" t="s">
        <v>23</v>
      </c>
      <c r="G271" s="1" t="s">
        <v>128</v>
      </c>
      <c r="H271" s="3">
        <v>3</v>
      </c>
      <c r="I271" s="11">
        <v>4999</v>
      </c>
      <c r="J271" s="10">
        <v>0.1</v>
      </c>
      <c r="K271" s="12">
        <v>13497.3</v>
      </c>
      <c r="L271" s="1" t="s">
        <v>30</v>
      </c>
    </row>
    <row r="272" spans="1:12" x14ac:dyDescent="0.2">
      <c r="A272" s="1" t="s">
        <v>377</v>
      </c>
      <c r="B272" s="2">
        <v>45156</v>
      </c>
      <c r="C272" s="1" t="s">
        <v>49</v>
      </c>
      <c r="D272" s="1" t="s">
        <v>66</v>
      </c>
      <c r="E272" s="1" t="s">
        <v>15</v>
      </c>
      <c r="F272" s="1" t="s">
        <v>37</v>
      </c>
      <c r="G272" s="1" t="s">
        <v>76</v>
      </c>
      <c r="H272" s="3">
        <v>9</v>
      </c>
      <c r="I272" s="11">
        <v>599</v>
      </c>
      <c r="J272" s="10">
        <v>0.25</v>
      </c>
      <c r="K272" s="12">
        <v>4043.25</v>
      </c>
      <c r="L272" s="1" t="s">
        <v>54</v>
      </c>
    </row>
    <row r="273" spans="1:12" x14ac:dyDescent="0.2">
      <c r="A273" s="1" t="s">
        <v>378</v>
      </c>
      <c r="B273" s="2">
        <v>44987</v>
      </c>
      <c r="C273" s="1" t="s">
        <v>75</v>
      </c>
      <c r="D273" s="1" t="s">
        <v>70</v>
      </c>
      <c r="E273" s="1" t="s">
        <v>15</v>
      </c>
      <c r="F273" s="1" t="s">
        <v>23</v>
      </c>
      <c r="G273" s="1" t="s">
        <v>144</v>
      </c>
      <c r="H273" s="3">
        <v>3</v>
      </c>
      <c r="I273" s="11">
        <v>1299</v>
      </c>
      <c r="J273" s="10">
        <v>0</v>
      </c>
      <c r="K273" s="12">
        <v>3897</v>
      </c>
      <c r="L273" s="1" t="s">
        <v>18</v>
      </c>
    </row>
    <row r="274" spans="1:12" x14ac:dyDescent="0.2">
      <c r="A274" s="1" t="s">
        <v>379</v>
      </c>
      <c r="B274" s="2">
        <v>45079</v>
      </c>
      <c r="C274" s="1" t="s">
        <v>69</v>
      </c>
      <c r="D274" s="1" t="s">
        <v>70</v>
      </c>
      <c r="E274" s="1" t="s">
        <v>15</v>
      </c>
      <c r="F274" s="1" t="s">
        <v>23</v>
      </c>
      <c r="G274" s="1" t="s">
        <v>144</v>
      </c>
      <c r="H274" s="3">
        <v>7</v>
      </c>
      <c r="I274" s="11">
        <v>1299</v>
      </c>
      <c r="J274" s="10">
        <v>0.05</v>
      </c>
      <c r="K274" s="12">
        <v>8638.35</v>
      </c>
      <c r="L274" s="1" t="s">
        <v>30</v>
      </c>
    </row>
    <row r="275" spans="1:12" x14ac:dyDescent="0.2">
      <c r="A275" s="1" t="s">
        <v>380</v>
      </c>
      <c r="B275" s="2">
        <v>45104</v>
      </c>
      <c r="C275" s="1" t="s">
        <v>115</v>
      </c>
      <c r="D275" s="1" t="s">
        <v>50</v>
      </c>
      <c r="E275" s="1" t="s">
        <v>51</v>
      </c>
      <c r="F275" s="1" t="s">
        <v>28</v>
      </c>
      <c r="G275" s="1" t="s">
        <v>29</v>
      </c>
      <c r="H275" s="3">
        <v>2</v>
      </c>
      <c r="I275" s="11">
        <v>299</v>
      </c>
      <c r="J275" s="10">
        <v>0.25</v>
      </c>
      <c r="K275" s="12">
        <v>448.5</v>
      </c>
      <c r="L275" s="1" t="s">
        <v>30</v>
      </c>
    </row>
    <row r="276" spans="1:12" x14ac:dyDescent="0.2">
      <c r="A276" s="1" t="s">
        <v>381</v>
      </c>
      <c r="B276" s="2">
        <v>45241</v>
      </c>
      <c r="C276" s="1" t="s">
        <v>126</v>
      </c>
      <c r="D276" s="1" t="s">
        <v>45</v>
      </c>
      <c r="E276" s="1" t="s">
        <v>46</v>
      </c>
      <c r="F276" s="1" t="s">
        <v>28</v>
      </c>
      <c r="G276" s="1" t="s">
        <v>91</v>
      </c>
      <c r="H276" s="3">
        <v>2</v>
      </c>
      <c r="I276" s="11">
        <v>299</v>
      </c>
      <c r="J276" s="10">
        <v>0.15</v>
      </c>
      <c r="K276" s="12">
        <v>508.3</v>
      </c>
      <c r="L276" s="1" t="s">
        <v>39</v>
      </c>
    </row>
    <row r="277" spans="1:12" x14ac:dyDescent="0.2">
      <c r="A277" s="1" t="s">
        <v>382</v>
      </c>
      <c r="B277" s="2">
        <v>45271</v>
      </c>
      <c r="C277" s="1" t="s">
        <v>41</v>
      </c>
      <c r="D277" s="1" t="s">
        <v>45</v>
      </c>
      <c r="E277" s="1" t="s">
        <v>46</v>
      </c>
      <c r="F277" s="1" t="s">
        <v>79</v>
      </c>
      <c r="G277" s="1" t="s">
        <v>162</v>
      </c>
      <c r="H277" s="3">
        <v>8</v>
      </c>
      <c r="I277" s="11">
        <v>1299</v>
      </c>
      <c r="J277" s="10">
        <v>0.2</v>
      </c>
      <c r="K277" s="12">
        <v>8313.6</v>
      </c>
      <c r="L277" s="1" t="s">
        <v>25</v>
      </c>
    </row>
    <row r="278" spans="1:12" x14ac:dyDescent="0.2">
      <c r="A278" s="1" t="s">
        <v>383</v>
      </c>
      <c r="B278" s="2">
        <v>44955</v>
      </c>
      <c r="C278" s="1" t="s">
        <v>115</v>
      </c>
      <c r="D278" s="1" t="s">
        <v>70</v>
      </c>
      <c r="E278" s="1" t="s">
        <v>15</v>
      </c>
      <c r="F278" s="1" t="s">
        <v>16</v>
      </c>
      <c r="G278" s="1" t="s">
        <v>17</v>
      </c>
      <c r="H278" s="3">
        <v>10</v>
      </c>
      <c r="I278" s="11">
        <v>2499</v>
      </c>
      <c r="J278" s="10">
        <v>0.2</v>
      </c>
      <c r="K278" s="12">
        <v>19992</v>
      </c>
      <c r="L278" s="1" t="s">
        <v>39</v>
      </c>
    </row>
    <row r="279" spans="1:12" x14ac:dyDescent="0.2">
      <c r="A279" s="1" t="s">
        <v>384</v>
      </c>
      <c r="B279" s="2">
        <v>45271</v>
      </c>
      <c r="C279" s="1" t="s">
        <v>36</v>
      </c>
      <c r="D279" s="1" t="s">
        <v>45</v>
      </c>
      <c r="E279" s="1" t="s">
        <v>46</v>
      </c>
      <c r="F279" s="1" t="s">
        <v>16</v>
      </c>
      <c r="G279" s="1" t="s">
        <v>17</v>
      </c>
      <c r="H279" s="3">
        <v>9</v>
      </c>
      <c r="I279" s="11">
        <v>1299</v>
      </c>
      <c r="J279" s="10">
        <v>0.15</v>
      </c>
      <c r="K279" s="12">
        <v>9937.35</v>
      </c>
      <c r="L279" s="1" t="s">
        <v>54</v>
      </c>
    </row>
    <row r="280" spans="1:12" x14ac:dyDescent="0.2">
      <c r="A280" s="1" t="s">
        <v>385</v>
      </c>
      <c r="B280" s="2">
        <v>45067</v>
      </c>
      <c r="C280" s="1" t="s">
        <v>41</v>
      </c>
      <c r="D280" s="1" t="s">
        <v>70</v>
      </c>
      <c r="E280" s="1" t="s">
        <v>15</v>
      </c>
      <c r="F280" s="1" t="s">
        <v>33</v>
      </c>
      <c r="G280" s="1" t="s">
        <v>34</v>
      </c>
      <c r="H280" s="3">
        <v>7</v>
      </c>
      <c r="I280" s="11">
        <v>49999</v>
      </c>
      <c r="J280" s="10">
        <v>0.15</v>
      </c>
      <c r="K280" s="12">
        <v>297494.05</v>
      </c>
      <c r="L280" s="1" t="s">
        <v>18</v>
      </c>
    </row>
    <row r="281" spans="1:12" x14ac:dyDescent="0.2">
      <c r="A281" s="1" t="s">
        <v>386</v>
      </c>
      <c r="B281" s="2">
        <v>45103</v>
      </c>
      <c r="C281" s="1" t="s">
        <v>49</v>
      </c>
      <c r="D281" s="1" t="s">
        <v>70</v>
      </c>
      <c r="E281" s="1" t="s">
        <v>15</v>
      </c>
      <c r="F281" s="1" t="s">
        <v>58</v>
      </c>
      <c r="G281" s="1" t="s">
        <v>175</v>
      </c>
      <c r="H281" s="3">
        <v>7</v>
      </c>
      <c r="I281" s="11">
        <v>4999</v>
      </c>
      <c r="J281" s="10">
        <v>0.05</v>
      </c>
      <c r="K281" s="12">
        <v>33243.35</v>
      </c>
      <c r="L281" s="1" t="s">
        <v>54</v>
      </c>
    </row>
    <row r="282" spans="1:12" x14ac:dyDescent="0.2">
      <c r="A282" s="1" t="s">
        <v>387</v>
      </c>
      <c r="B282" s="2">
        <v>45119</v>
      </c>
      <c r="C282" s="1" t="s">
        <v>75</v>
      </c>
      <c r="D282" s="1" t="s">
        <v>70</v>
      </c>
      <c r="E282" s="1" t="s">
        <v>15</v>
      </c>
      <c r="F282" s="1" t="s">
        <v>52</v>
      </c>
      <c r="G282" s="1" t="s">
        <v>107</v>
      </c>
      <c r="H282" s="3">
        <v>4</v>
      </c>
      <c r="I282" s="11">
        <v>1999</v>
      </c>
      <c r="J282" s="10">
        <v>0.25</v>
      </c>
      <c r="K282" s="12">
        <v>5997</v>
      </c>
      <c r="L282" s="1" t="s">
        <v>25</v>
      </c>
    </row>
    <row r="283" spans="1:12" x14ac:dyDescent="0.2">
      <c r="A283" s="1" t="s">
        <v>388</v>
      </c>
      <c r="B283" s="2">
        <v>45164</v>
      </c>
      <c r="C283" s="1" t="s">
        <v>41</v>
      </c>
      <c r="D283" s="1" t="s">
        <v>70</v>
      </c>
      <c r="E283" s="1" t="s">
        <v>15</v>
      </c>
      <c r="F283" s="1" t="s">
        <v>23</v>
      </c>
      <c r="G283" s="1" t="s">
        <v>99</v>
      </c>
      <c r="H283" s="3">
        <v>9</v>
      </c>
      <c r="I283" s="11">
        <v>24999</v>
      </c>
      <c r="J283" s="10">
        <v>0.05</v>
      </c>
      <c r="K283" s="12">
        <v>213741.45</v>
      </c>
      <c r="L283" s="1" t="s">
        <v>30</v>
      </c>
    </row>
    <row r="284" spans="1:12" x14ac:dyDescent="0.2">
      <c r="A284" s="1" t="s">
        <v>389</v>
      </c>
      <c r="B284" s="2">
        <v>45051</v>
      </c>
      <c r="C284" s="1" t="s">
        <v>32</v>
      </c>
      <c r="D284" s="1" t="s">
        <v>70</v>
      </c>
      <c r="E284" s="1" t="s">
        <v>46</v>
      </c>
      <c r="F284" s="1" t="s">
        <v>58</v>
      </c>
      <c r="G284" s="1" t="s">
        <v>175</v>
      </c>
      <c r="H284" s="3">
        <v>2</v>
      </c>
      <c r="I284" s="11">
        <v>9999</v>
      </c>
      <c r="J284" s="10">
        <v>0.1</v>
      </c>
      <c r="K284" s="12">
        <v>17998.2</v>
      </c>
      <c r="L284" s="1" t="s">
        <v>18</v>
      </c>
    </row>
    <row r="285" spans="1:12" x14ac:dyDescent="0.2">
      <c r="A285" s="1" t="s">
        <v>390</v>
      </c>
      <c r="B285" s="2">
        <v>45201</v>
      </c>
      <c r="C285" s="1" t="s">
        <v>105</v>
      </c>
      <c r="D285" s="1" t="s">
        <v>14</v>
      </c>
      <c r="E285" s="1" t="s">
        <v>15</v>
      </c>
      <c r="F285" s="1" t="s">
        <v>16</v>
      </c>
      <c r="G285" s="1" t="s">
        <v>73</v>
      </c>
      <c r="H285" s="3">
        <v>10</v>
      </c>
      <c r="I285" s="11">
        <v>299</v>
      </c>
      <c r="J285" s="10">
        <v>0</v>
      </c>
      <c r="K285" s="12">
        <v>2990</v>
      </c>
      <c r="L285" s="1" t="s">
        <v>25</v>
      </c>
    </row>
    <row r="286" spans="1:12" x14ac:dyDescent="0.2">
      <c r="A286" s="1" t="s">
        <v>391</v>
      </c>
      <c r="B286" s="2">
        <v>45227</v>
      </c>
      <c r="C286" s="1" t="s">
        <v>20</v>
      </c>
      <c r="D286" s="1" t="s">
        <v>45</v>
      </c>
      <c r="E286" s="1" t="s">
        <v>46</v>
      </c>
      <c r="F286" s="1" t="s">
        <v>52</v>
      </c>
      <c r="G286" s="1" t="s">
        <v>107</v>
      </c>
      <c r="H286" s="3">
        <v>6</v>
      </c>
      <c r="I286" s="11">
        <v>1999</v>
      </c>
      <c r="J286" s="10">
        <v>0</v>
      </c>
      <c r="K286" s="12">
        <v>11994</v>
      </c>
      <c r="L286" s="1" t="s">
        <v>25</v>
      </c>
    </row>
    <row r="287" spans="1:12" x14ac:dyDescent="0.2">
      <c r="A287" s="1" t="s">
        <v>392</v>
      </c>
      <c r="B287" s="2">
        <v>45024</v>
      </c>
      <c r="C287" s="1" t="s">
        <v>13</v>
      </c>
      <c r="D287" s="1" t="s">
        <v>42</v>
      </c>
      <c r="E287" s="1" t="s">
        <v>15</v>
      </c>
      <c r="F287" s="1" t="s">
        <v>28</v>
      </c>
      <c r="G287" s="1" t="s">
        <v>29</v>
      </c>
      <c r="H287" s="3">
        <v>10</v>
      </c>
      <c r="I287" s="11">
        <v>999</v>
      </c>
      <c r="J287" s="10">
        <v>0.15</v>
      </c>
      <c r="K287" s="12">
        <v>8491.5</v>
      </c>
      <c r="L287" s="1" t="s">
        <v>25</v>
      </c>
    </row>
    <row r="288" spans="1:12" x14ac:dyDescent="0.2">
      <c r="A288" s="1" t="s">
        <v>393</v>
      </c>
      <c r="B288" s="2">
        <v>45209</v>
      </c>
      <c r="C288" s="1" t="s">
        <v>36</v>
      </c>
      <c r="D288" s="1" t="s">
        <v>50</v>
      </c>
      <c r="E288" s="1" t="s">
        <v>51</v>
      </c>
      <c r="F288" s="1" t="s">
        <v>23</v>
      </c>
      <c r="G288" s="1" t="s">
        <v>99</v>
      </c>
      <c r="H288" s="3">
        <v>9</v>
      </c>
      <c r="I288" s="11">
        <v>2999</v>
      </c>
      <c r="J288" s="10">
        <v>0.1</v>
      </c>
      <c r="K288" s="12">
        <v>24291.9</v>
      </c>
      <c r="L288" s="1" t="s">
        <v>54</v>
      </c>
    </row>
    <row r="289" spans="1:12" x14ac:dyDescent="0.2">
      <c r="A289" s="1" t="s">
        <v>394</v>
      </c>
      <c r="B289" s="2">
        <v>45111</v>
      </c>
      <c r="C289" s="1" t="s">
        <v>88</v>
      </c>
      <c r="D289" s="1" t="s">
        <v>42</v>
      </c>
      <c r="E289" s="1" t="s">
        <v>15</v>
      </c>
      <c r="F289" s="1" t="s">
        <v>52</v>
      </c>
      <c r="G289" s="1" t="s">
        <v>156</v>
      </c>
      <c r="H289" s="3">
        <v>8</v>
      </c>
      <c r="I289" s="11">
        <v>2499</v>
      </c>
      <c r="J289" s="10">
        <v>0.05</v>
      </c>
      <c r="K289" s="12">
        <v>18992.400000000001</v>
      </c>
      <c r="L289" s="1" t="s">
        <v>54</v>
      </c>
    </row>
    <row r="290" spans="1:12" x14ac:dyDescent="0.2">
      <c r="A290" s="1" t="s">
        <v>395</v>
      </c>
      <c r="B290" s="2">
        <v>45087</v>
      </c>
      <c r="C290" s="1" t="s">
        <v>97</v>
      </c>
      <c r="D290" s="1" t="s">
        <v>14</v>
      </c>
      <c r="E290" s="1" t="s">
        <v>15</v>
      </c>
      <c r="F290" s="1" t="s">
        <v>28</v>
      </c>
      <c r="G290" s="1" t="s">
        <v>29</v>
      </c>
      <c r="H290" s="3">
        <v>3</v>
      </c>
      <c r="I290" s="11">
        <v>199</v>
      </c>
      <c r="J290" s="10">
        <v>0.1</v>
      </c>
      <c r="K290" s="12">
        <v>537.29999999999995</v>
      </c>
      <c r="L290" s="1" t="s">
        <v>39</v>
      </c>
    </row>
    <row r="291" spans="1:12" x14ac:dyDescent="0.2">
      <c r="A291" s="1" t="s">
        <v>396</v>
      </c>
      <c r="B291" s="2">
        <v>45226</v>
      </c>
      <c r="C291" s="1" t="s">
        <v>44</v>
      </c>
      <c r="D291" s="1" t="s">
        <v>66</v>
      </c>
      <c r="E291" s="1" t="s">
        <v>15</v>
      </c>
      <c r="F291" s="1" t="s">
        <v>16</v>
      </c>
      <c r="G291" s="1" t="s">
        <v>17</v>
      </c>
      <c r="H291" s="3">
        <v>4</v>
      </c>
      <c r="I291" s="11">
        <v>2499</v>
      </c>
      <c r="J291" s="10">
        <v>0.05</v>
      </c>
      <c r="K291" s="12">
        <v>9496.2000000000007</v>
      </c>
      <c r="L291" s="1" t="s">
        <v>30</v>
      </c>
    </row>
    <row r="292" spans="1:12" x14ac:dyDescent="0.2">
      <c r="A292" s="1" t="s">
        <v>397</v>
      </c>
      <c r="B292" s="2">
        <v>45218</v>
      </c>
      <c r="C292" s="1" t="s">
        <v>183</v>
      </c>
      <c r="D292" s="1" t="s">
        <v>42</v>
      </c>
      <c r="E292" s="1" t="s">
        <v>15</v>
      </c>
      <c r="F292" s="1" t="s">
        <v>58</v>
      </c>
      <c r="G292" s="1" t="s">
        <v>113</v>
      </c>
      <c r="H292" s="3">
        <v>8</v>
      </c>
      <c r="I292" s="11">
        <v>14999</v>
      </c>
      <c r="J292" s="10">
        <v>0.15</v>
      </c>
      <c r="K292" s="12">
        <v>101993.2</v>
      </c>
      <c r="L292" s="1" t="s">
        <v>25</v>
      </c>
    </row>
    <row r="293" spans="1:12" x14ac:dyDescent="0.2">
      <c r="A293" s="1" t="s">
        <v>398</v>
      </c>
      <c r="B293" s="2">
        <v>45107</v>
      </c>
      <c r="C293" s="1" t="s">
        <v>75</v>
      </c>
      <c r="D293" s="1" t="s">
        <v>64</v>
      </c>
      <c r="E293" s="1" t="s">
        <v>46</v>
      </c>
      <c r="F293" s="1" t="s">
        <v>52</v>
      </c>
      <c r="G293" s="1" t="s">
        <v>107</v>
      </c>
      <c r="H293" s="3">
        <v>9</v>
      </c>
      <c r="I293" s="11">
        <v>299</v>
      </c>
      <c r="J293" s="10">
        <v>0.2</v>
      </c>
      <c r="K293" s="12">
        <v>2152.8000000000002</v>
      </c>
      <c r="L293" s="1" t="s">
        <v>18</v>
      </c>
    </row>
    <row r="294" spans="1:12" x14ac:dyDescent="0.2">
      <c r="A294" s="1" t="s">
        <v>399</v>
      </c>
      <c r="B294" s="2">
        <v>44965</v>
      </c>
      <c r="C294" s="1" t="s">
        <v>41</v>
      </c>
      <c r="D294" s="1" t="s">
        <v>14</v>
      </c>
      <c r="E294" s="1" t="s">
        <v>15</v>
      </c>
      <c r="F294" s="1" t="s">
        <v>23</v>
      </c>
      <c r="G294" s="1" t="s">
        <v>128</v>
      </c>
      <c r="H294" s="3">
        <v>4</v>
      </c>
      <c r="I294" s="11">
        <v>399</v>
      </c>
      <c r="J294" s="10">
        <v>0.25</v>
      </c>
      <c r="K294" s="12">
        <v>1197</v>
      </c>
      <c r="L294" s="1" t="s">
        <v>25</v>
      </c>
    </row>
    <row r="295" spans="1:12" x14ac:dyDescent="0.2">
      <c r="A295" s="1" t="s">
        <v>400</v>
      </c>
      <c r="B295" s="2">
        <v>44931</v>
      </c>
      <c r="C295" s="1" t="s">
        <v>105</v>
      </c>
      <c r="D295" s="1" t="s">
        <v>70</v>
      </c>
      <c r="E295" s="1" t="s">
        <v>15</v>
      </c>
      <c r="F295" s="1" t="s">
        <v>52</v>
      </c>
      <c r="G295" s="1" t="s">
        <v>116</v>
      </c>
      <c r="H295" s="3">
        <v>1</v>
      </c>
      <c r="I295" s="11">
        <v>14999</v>
      </c>
      <c r="J295" s="10">
        <v>0.25</v>
      </c>
      <c r="K295" s="12">
        <v>11249.25</v>
      </c>
      <c r="L295" s="1" t="s">
        <v>30</v>
      </c>
    </row>
    <row r="296" spans="1:12" x14ac:dyDescent="0.2">
      <c r="A296" s="1" t="s">
        <v>401</v>
      </c>
      <c r="B296" s="2">
        <v>44935</v>
      </c>
      <c r="C296" s="1" t="s">
        <v>126</v>
      </c>
      <c r="D296" s="1" t="s">
        <v>70</v>
      </c>
      <c r="E296" s="1" t="s">
        <v>15</v>
      </c>
      <c r="F296" s="1" t="s">
        <v>23</v>
      </c>
      <c r="G296" s="1" t="s">
        <v>24</v>
      </c>
      <c r="H296" s="3">
        <v>1</v>
      </c>
      <c r="I296" s="11">
        <v>24999</v>
      </c>
      <c r="J296" s="10">
        <v>0.25</v>
      </c>
      <c r="K296" s="12">
        <v>18749.25</v>
      </c>
      <c r="L296" s="1" t="s">
        <v>54</v>
      </c>
    </row>
    <row r="297" spans="1:12" x14ac:dyDescent="0.2">
      <c r="A297" s="1" t="s">
        <v>402</v>
      </c>
      <c r="B297" s="2">
        <v>45201</v>
      </c>
      <c r="C297" s="1" t="s">
        <v>82</v>
      </c>
      <c r="D297" s="1" t="s">
        <v>14</v>
      </c>
      <c r="E297" s="1" t="s">
        <v>15</v>
      </c>
      <c r="F297" s="1" t="s">
        <v>23</v>
      </c>
      <c r="G297" s="1" t="s">
        <v>128</v>
      </c>
      <c r="H297" s="3">
        <v>2</v>
      </c>
      <c r="I297" s="11">
        <v>499</v>
      </c>
      <c r="J297" s="10">
        <v>0.2</v>
      </c>
      <c r="K297" s="12">
        <v>798.4</v>
      </c>
      <c r="L297" s="1" t="s">
        <v>25</v>
      </c>
    </row>
    <row r="298" spans="1:12" x14ac:dyDescent="0.2">
      <c r="A298" s="1" t="s">
        <v>403</v>
      </c>
      <c r="B298" s="2">
        <v>45050</v>
      </c>
      <c r="C298" s="1" t="s">
        <v>105</v>
      </c>
      <c r="D298" s="1" t="s">
        <v>111</v>
      </c>
      <c r="E298" s="1" t="s">
        <v>22</v>
      </c>
      <c r="F298" s="1" t="s">
        <v>16</v>
      </c>
      <c r="G298" s="1" t="s">
        <v>170</v>
      </c>
      <c r="H298" s="3">
        <v>5</v>
      </c>
      <c r="I298" s="11">
        <v>3999</v>
      </c>
      <c r="J298" s="10">
        <v>0</v>
      </c>
      <c r="K298" s="12">
        <v>19995</v>
      </c>
      <c r="L298" s="1" t="s">
        <v>54</v>
      </c>
    </row>
    <row r="299" spans="1:12" x14ac:dyDescent="0.2">
      <c r="A299" s="1" t="s">
        <v>404</v>
      </c>
      <c r="B299" s="2">
        <v>45134</v>
      </c>
      <c r="C299" s="1" t="s">
        <v>69</v>
      </c>
      <c r="D299" s="1" t="s">
        <v>111</v>
      </c>
      <c r="E299" s="1" t="s">
        <v>22</v>
      </c>
      <c r="F299" s="1" t="s">
        <v>28</v>
      </c>
      <c r="G299" s="1" t="s">
        <v>29</v>
      </c>
      <c r="H299" s="3">
        <v>4</v>
      </c>
      <c r="I299" s="11">
        <v>1999</v>
      </c>
      <c r="J299" s="10">
        <v>0.25</v>
      </c>
      <c r="K299" s="12">
        <v>5997</v>
      </c>
      <c r="L299" s="1" t="s">
        <v>18</v>
      </c>
    </row>
    <row r="300" spans="1:12" x14ac:dyDescent="0.2">
      <c r="A300" s="1" t="s">
        <v>405</v>
      </c>
      <c r="B300" s="2">
        <v>45261</v>
      </c>
      <c r="C300" s="1" t="s">
        <v>41</v>
      </c>
      <c r="D300" s="1" t="s">
        <v>21</v>
      </c>
      <c r="E300" s="1" t="s">
        <v>22</v>
      </c>
      <c r="F300" s="1" t="s">
        <v>23</v>
      </c>
      <c r="G300" s="1" t="s">
        <v>99</v>
      </c>
      <c r="H300" s="3">
        <v>7</v>
      </c>
      <c r="I300" s="11">
        <v>49999</v>
      </c>
      <c r="J300" s="10">
        <v>0.15</v>
      </c>
      <c r="K300" s="12">
        <v>297494.05</v>
      </c>
      <c r="L300" s="1" t="s">
        <v>18</v>
      </c>
    </row>
    <row r="301" spans="1:12" x14ac:dyDescent="0.2">
      <c r="A301" s="1" t="s">
        <v>406</v>
      </c>
      <c r="B301" s="2">
        <v>45253</v>
      </c>
      <c r="C301" s="1" t="s">
        <v>126</v>
      </c>
      <c r="D301" s="1" t="s">
        <v>64</v>
      </c>
      <c r="E301" s="1" t="s">
        <v>46</v>
      </c>
      <c r="F301" s="1" t="s">
        <v>37</v>
      </c>
      <c r="G301" s="1" t="s">
        <v>38</v>
      </c>
      <c r="H301" s="3">
        <v>7</v>
      </c>
      <c r="I301" s="11">
        <v>2499</v>
      </c>
      <c r="J301" s="10">
        <v>0.2</v>
      </c>
      <c r="K301" s="12">
        <v>13994.4</v>
      </c>
      <c r="L301" s="1" t="s">
        <v>18</v>
      </c>
    </row>
    <row r="302" spans="1:12" x14ac:dyDescent="0.2">
      <c r="A302" s="1" t="s">
        <v>407</v>
      </c>
      <c r="B302" s="2">
        <v>45197</v>
      </c>
      <c r="C302" s="1" t="s">
        <v>41</v>
      </c>
      <c r="D302" s="1" t="s">
        <v>45</v>
      </c>
      <c r="E302" s="1" t="s">
        <v>46</v>
      </c>
      <c r="F302" s="1" t="s">
        <v>28</v>
      </c>
      <c r="G302" s="1" t="s">
        <v>29</v>
      </c>
      <c r="H302" s="3">
        <v>10</v>
      </c>
      <c r="I302" s="11">
        <v>14999</v>
      </c>
      <c r="J302" s="10">
        <v>0.1</v>
      </c>
      <c r="K302" s="12">
        <v>134991</v>
      </c>
      <c r="L302" s="1" t="s">
        <v>18</v>
      </c>
    </row>
    <row r="303" spans="1:12" x14ac:dyDescent="0.2">
      <c r="A303" s="1" t="s">
        <v>408</v>
      </c>
      <c r="B303" s="2">
        <v>44965</v>
      </c>
      <c r="C303" s="1" t="s">
        <v>32</v>
      </c>
      <c r="D303" s="1" t="s">
        <v>70</v>
      </c>
      <c r="E303" s="1" t="s">
        <v>15</v>
      </c>
      <c r="F303" s="1" t="s">
        <v>79</v>
      </c>
      <c r="G303" s="1" t="s">
        <v>83</v>
      </c>
      <c r="H303" s="3">
        <v>6</v>
      </c>
      <c r="I303" s="11">
        <v>199</v>
      </c>
      <c r="J303" s="10">
        <v>0.05</v>
      </c>
      <c r="K303" s="12">
        <v>1134.3</v>
      </c>
      <c r="L303" s="1" t="s">
        <v>39</v>
      </c>
    </row>
    <row r="304" spans="1:12" x14ac:dyDescent="0.2">
      <c r="A304" s="1" t="s">
        <v>409</v>
      </c>
      <c r="B304" s="2">
        <v>45000</v>
      </c>
      <c r="C304" s="1" t="s">
        <v>49</v>
      </c>
      <c r="D304" s="1" t="s">
        <v>21</v>
      </c>
      <c r="E304" s="1" t="s">
        <v>22</v>
      </c>
      <c r="F304" s="1" t="s">
        <v>16</v>
      </c>
      <c r="G304" s="1" t="s">
        <v>17</v>
      </c>
      <c r="H304" s="3">
        <v>10</v>
      </c>
      <c r="I304" s="11">
        <v>1299</v>
      </c>
      <c r="J304" s="10">
        <v>0.2</v>
      </c>
      <c r="K304" s="12">
        <v>10392</v>
      </c>
      <c r="L304" s="1" t="s">
        <v>30</v>
      </c>
    </row>
    <row r="305" spans="1:12" x14ac:dyDescent="0.2">
      <c r="A305" s="1" t="s">
        <v>410</v>
      </c>
      <c r="B305" s="2">
        <v>45273</v>
      </c>
      <c r="C305" s="1" t="s">
        <v>20</v>
      </c>
      <c r="D305" s="1" t="s">
        <v>98</v>
      </c>
      <c r="E305" s="1" t="s">
        <v>46</v>
      </c>
      <c r="F305" s="1" t="s">
        <v>23</v>
      </c>
      <c r="G305" s="1" t="s">
        <v>135</v>
      </c>
      <c r="H305" s="3">
        <v>3</v>
      </c>
      <c r="I305" s="11">
        <v>399</v>
      </c>
      <c r="J305" s="10">
        <v>0.2</v>
      </c>
      <c r="K305" s="12">
        <v>957.6</v>
      </c>
      <c r="L305" s="1" t="s">
        <v>54</v>
      </c>
    </row>
    <row r="306" spans="1:12" x14ac:dyDescent="0.2">
      <c r="A306" s="1" t="s">
        <v>411</v>
      </c>
      <c r="B306" s="2">
        <v>44954</v>
      </c>
      <c r="C306" s="1" t="s">
        <v>13</v>
      </c>
      <c r="D306" s="1" t="s">
        <v>66</v>
      </c>
      <c r="E306" s="1" t="s">
        <v>15</v>
      </c>
      <c r="F306" s="1" t="s">
        <v>28</v>
      </c>
      <c r="G306" s="1" t="s">
        <v>91</v>
      </c>
      <c r="H306" s="3">
        <v>6</v>
      </c>
      <c r="I306" s="11">
        <v>3999</v>
      </c>
      <c r="J306" s="10">
        <v>0.1</v>
      </c>
      <c r="K306" s="12">
        <v>21594.6</v>
      </c>
      <c r="L306" s="1" t="s">
        <v>18</v>
      </c>
    </row>
    <row r="307" spans="1:12" x14ac:dyDescent="0.2">
      <c r="A307" s="1" t="s">
        <v>412</v>
      </c>
      <c r="B307" s="2">
        <v>45251</v>
      </c>
      <c r="C307" s="1" t="s">
        <v>32</v>
      </c>
      <c r="D307" s="1" t="s">
        <v>42</v>
      </c>
      <c r="E307" s="1" t="s">
        <v>15</v>
      </c>
      <c r="F307" s="1" t="s">
        <v>52</v>
      </c>
      <c r="G307" s="1" t="s">
        <v>107</v>
      </c>
      <c r="H307" s="3">
        <v>6</v>
      </c>
      <c r="I307" s="11">
        <v>49999</v>
      </c>
      <c r="J307" s="10">
        <v>0.15</v>
      </c>
      <c r="K307" s="12">
        <v>254994.9</v>
      </c>
      <c r="L307" s="1" t="s">
        <v>30</v>
      </c>
    </row>
    <row r="308" spans="1:12" x14ac:dyDescent="0.2">
      <c r="A308" s="1" t="s">
        <v>413</v>
      </c>
      <c r="B308" s="2">
        <v>45022</v>
      </c>
      <c r="C308" s="1" t="s">
        <v>44</v>
      </c>
      <c r="D308" s="1" t="s">
        <v>66</v>
      </c>
      <c r="E308" s="1" t="s">
        <v>15</v>
      </c>
      <c r="F308" s="1" t="s">
        <v>37</v>
      </c>
      <c r="G308" s="1" t="s">
        <v>219</v>
      </c>
      <c r="H308" s="3">
        <v>5</v>
      </c>
      <c r="I308" s="11">
        <v>1299</v>
      </c>
      <c r="J308" s="10">
        <v>0.25</v>
      </c>
      <c r="K308" s="12">
        <v>4871.25</v>
      </c>
      <c r="L308" s="1" t="s">
        <v>18</v>
      </c>
    </row>
    <row r="309" spans="1:12" x14ac:dyDescent="0.2">
      <c r="A309" s="1" t="s">
        <v>414</v>
      </c>
      <c r="B309" s="2">
        <v>44969</v>
      </c>
      <c r="C309" s="1" t="s">
        <v>32</v>
      </c>
      <c r="D309" s="1" t="s">
        <v>64</v>
      </c>
      <c r="E309" s="1" t="s">
        <v>46</v>
      </c>
      <c r="F309" s="1" t="s">
        <v>23</v>
      </c>
      <c r="G309" s="1" t="s">
        <v>135</v>
      </c>
      <c r="H309" s="3">
        <v>3</v>
      </c>
      <c r="I309" s="11">
        <v>3999</v>
      </c>
      <c r="J309" s="10">
        <v>0.1</v>
      </c>
      <c r="K309" s="12">
        <v>10797.3</v>
      </c>
      <c r="L309" s="1" t="s">
        <v>54</v>
      </c>
    </row>
    <row r="310" spans="1:12" x14ac:dyDescent="0.2">
      <c r="A310" s="1" t="s">
        <v>415</v>
      </c>
      <c r="B310" s="2">
        <v>44981</v>
      </c>
      <c r="C310" s="1" t="s">
        <v>61</v>
      </c>
      <c r="D310" s="1" t="s">
        <v>14</v>
      </c>
      <c r="E310" s="1" t="s">
        <v>15</v>
      </c>
      <c r="F310" s="1" t="s">
        <v>16</v>
      </c>
      <c r="G310" s="1" t="s">
        <v>73</v>
      </c>
      <c r="H310" s="3">
        <v>6</v>
      </c>
      <c r="I310" s="11">
        <v>1499</v>
      </c>
      <c r="J310" s="10">
        <v>0</v>
      </c>
      <c r="K310" s="12">
        <v>8994</v>
      </c>
      <c r="L310" s="1" t="s">
        <v>25</v>
      </c>
    </row>
    <row r="311" spans="1:12" x14ac:dyDescent="0.2">
      <c r="A311" s="1" t="s">
        <v>416</v>
      </c>
      <c r="B311" s="2">
        <v>44971</v>
      </c>
      <c r="C311" s="1" t="s">
        <v>75</v>
      </c>
      <c r="D311" s="1" t="s">
        <v>66</v>
      </c>
      <c r="E311" s="1" t="s">
        <v>15</v>
      </c>
      <c r="F311" s="1" t="s">
        <v>52</v>
      </c>
      <c r="G311" s="1" t="s">
        <v>202</v>
      </c>
      <c r="H311" s="3">
        <v>9</v>
      </c>
      <c r="I311" s="11">
        <v>24999</v>
      </c>
      <c r="J311" s="10">
        <v>0.15</v>
      </c>
      <c r="K311" s="12">
        <v>191242.35</v>
      </c>
      <c r="L311" s="1" t="s">
        <v>18</v>
      </c>
    </row>
    <row r="312" spans="1:12" x14ac:dyDescent="0.2">
      <c r="A312" s="1" t="s">
        <v>417</v>
      </c>
      <c r="B312" s="2">
        <v>44940</v>
      </c>
      <c r="C312" s="1" t="s">
        <v>61</v>
      </c>
      <c r="D312" s="1" t="s">
        <v>98</v>
      </c>
      <c r="E312" s="1" t="s">
        <v>46</v>
      </c>
      <c r="F312" s="1" t="s">
        <v>37</v>
      </c>
      <c r="G312" s="1" t="s">
        <v>219</v>
      </c>
      <c r="H312" s="3">
        <v>10</v>
      </c>
      <c r="I312" s="11">
        <v>2499</v>
      </c>
      <c r="J312" s="10">
        <v>0.15</v>
      </c>
      <c r="K312" s="12">
        <v>21241.5</v>
      </c>
      <c r="L312" s="1" t="s">
        <v>18</v>
      </c>
    </row>
    <row r="313" spans="1:12" x14ac:dyDescent="0.2">
      <c r="A313" s="1" t="s">
        <v>418</v>
      </c>
      <c r="B313" s="2">
        <v>45076</v>
      </c>
      <c r="C313" s="1" t="s">
        <v>97</v>
      </c>
      <c r="D313" s="1" t="s">
        <v>66</v>
      </c>
      <c r="E313" s="1" t="s">
        <v>15</v>
      </c>
      <c r="F313" s="1" t="s">
        <v>37</v>
      </c>
      <c r="G313" s="1" t="s">
        <v>76</v>
      </c>
      <c r="H313" s="3">
        <v>9</v>
      </c>
      <c r="I313" s="11">
        <v>1299</v>
      </c>
      <c r="J313" s="10">
        <v>0.2</v>
      </c>
      <c r="K313" s="12">
        <v>9352.7999999999993</v>
      </c>
      <c r="L313" s="1" t="s">
        <v>39</v>
      </c>
    </row>
    <row r="314" spans="1:12" x14ac:dyDescent="0.2">
      <c r="A314" s="1" t="s">
        <v>419</v>
      </c>
      <c r="B314" s="2">
        <v>45013</v>
      </c>
      <c r="C314" s="1" t="s">
        <v>49</v>
      </c>
      <c r="D314" s="1" t="s">
        <v>64</v>
      </c>
      <c r="E314" s="1" t="s">
        <v>46</v>
      </c>
      <c r="F314" s="1" t="s">
        <v>33</v>
      </c>
      <c r="G314" s="1" t="s">
        <v>188</v>
      </c>
      <c r="H314" s="3">
        <v>5</v>
      </c>
      <c r="I314" s="11">
        <v>1499</v>
      </c>
      <c r="J314" s="10">
        <v>0.15</v>
      </c>
      <c r="K314" s="12">
        <v>6370.75</v>
      </c>
      <c r="L314" s="1" t="s">
        <v>25</v>
      </c>
    </row>
    <row r="315" spans="1:12" x14ac:dyDescent="0.2">
      <c r="A315" s="1" t="s">
        <v>420</v>
      </c>
      <c r="B315" s="2">
        <v>44959</v>
      </c>
      <c r="C315" s="1" t="s">
        <v>75</v>
      </c>
      <c r="D315" s="1" t="s">
        <v>66</v>
      </c>
      <c r="E315" s="1" t="s">
        <v>15</v>
      </c>
      <c r="F315" s="1" t="s">
        <v>16</v>
      </c>
      <c r="G315" s="1" t="s">
        <v>73</v>
      </c>
      <c r="H315" s="3">
        <v>5</v>
      </c>
      <c r="I315" s="11">
        <v>14999</v>
      </c>
      <c r="J315" s="10">
        <v>0</v>
      </c>
      <c r="K315" s="12">
        <v>74995</v>
      </c>
      <c r="L315" s="1" t="s">
        <v>54</v>
      </c>
    </row>
    <row r="316" spans="1:12" x14ac:dyDescent="0.2">
      <c r="A316" s="1" t="s">
        <v>421</v>
      </c>
      <c r="B316" s="2">
        <v>45055</v>
      </c>
      <c r="C316" s="1" t="s">
        <v>183</v>
      </c>
      <c r="D316" s="1" t="s">
        <v>42</v>
      </c>
      <c r="E316" s="1" t="s">
        <v>15</v>
      </c>
      <c r="F316" s="1" t="s">
        <v>28</v>
      </c>
      <c r="G316" s="1" t="s">
        <v>95</v>
      </c>
      <c r="H316" s="3">
        <v>2</v>
      </c>
      <c r="I316" s="11">
        <v>599</v>
      </c>
      <c r="J316" s="10">
        <v>0.1</v>
      </c>
      <c r="K316" s="12">
        <v>1078.2</v>
      </c>
      <c r="L316" s="1" t="s">
        <v>18</v>
      </c>
    </row>
    <row r="317" spans="1:12" x14ac:dyDescent="0.2">
      <c r="A317" s="1" t="s">
        <v>422</v>
      </c>
      <c r="B317" s="2">
        <v>45129</v>
      </c>
      <c r="C317" s="1" t="s">
        <v>36</v>
      </c>
      <c r="D317" s="1" t="s">
        <v>111</v>
      </c>
      <c r="E317" s="1" t="s">
        <v>22</v>
      </c>
      <c r="F317" s="1" t="s">
        <v>23</v>
      </c>
      <c r="G317" s="1" t="s">
        <v>254</v>
      </c>
      <c r="H317" s="3">
        <v>8</v>
      </c>
      <c r="I317" s="11">
        <v>2499</v>
      </c>
      <c r="J317" s="10">
        <v>0.15</v>
      </c>
      <c r="K317" s="12">
        <v>16993.2</v>
      </c>
      <c r="L317" s="1" t="s">
        <v>39</v>
      </c>
    </row>
    <row r="318" spans="1:12" x14ac:dyDescent="0.2">
      <c r="A318" s="1" t="s">
        <v>423</v>
      </c>
      <c r="B318" s="2">
        <v>44996</v>
      </c>
      <c r="C318" s="1" t="s">
        <v>82</v>
      </c>
      <c r="D318" s="1" t="s">
        <v>98</v>
      </c>
      <c r="E318" s="1" t="s">
        <v>46</v>
      </c>
      <c r="F318" s="1" t="s">
        <v>28</v>
      </c>
      <c r="G318" s="1" t="s">
        <v>95</v>
      </c>
      <c r="H318" s="3">
        <v>6</v>
      </c>
      <c r="I318" s="11">
        <v>799</v>
      </c>
      <c r="J318" s="10">
        <v>0.15</v>
      </c>
      <c r="K318" s="12">
        <v>4074.9</v>
      </c>
      <c r="L318" s="1" t="s">
        <v>54</v>
      </c>
    </row>
    <row r="319" spans="1:12" x14ac:dyDescent="0.2">
      <c r="A319" s="1" t="s">
        <v>424</v>
      </c>
      <c r="B319" s="2">
        <v>45076</v>
      </c>
      <c r="C319" s="1" t="s">
        <v>123</v>
      </c>
      <c r="D319" s="1" t="s">
        <v>111</v>
      </c>
      <c r="E319" s="1" t="s">
        <v>22</v>
      </c>
      <c r="F319" s="1" t="s">
        <v>28</v>
      </c>
      <c r="G319" s="1" t="s">
        <v>93</v>
      </c>
      <c r="H319" s="3">
        <v>7</v>
      </c>
      <c r="I319" s="11">
        <v>1499</v>
      </c>
      <c r="J319" s="10">
        <v>0.15</v>
      </c>
      <c r="K319" s="12">
        <v>8919.0499999999993</v>
      </c>
      <c r="L319" s="1" t="s">
        <v>54</v>
      </c>
    </row>
    <row r="320" spans="1:12" x14ac:dyDescent="0.2">
      <c r="A320" s="1" t="s">
        <v>425</v>
      </c>
      <c r="B320" s="2">
        <v>44985</v>
      </c>
      <c r="C320" s="1" t="s">
        <v>44</v>
      </c>
      <c r="D320" s="1" t="s">
        <v>45</v>
      </c>
      <c r="E320" s="1" t="s">
        <v>46</v>
      </c>
      <c r="F320" s="1" t="s">
        <v>33</v>
      </c>
      <c r="G320" s="1" t="s">
        <v>34</v>
      </c>
      <c r="H320" s="3">
        <v>9</v>
      </c>
      <c r="I320" s="11">
        <v>199</v>
      </c>
      <c r="J320" s="10">
        <v>0.25</v>
      </c>
      <c r="K320" s="12">
        <v>1343.25</v>
      </c>
      <c r="L320" s="1" t="s">
        <v>30</v>
      </c>
    </row>
    <row r="321" spans="1:12" x14ac:dyDescent="0.2">
      <c r="A321" s="1" t="s">
        <v>426</v>
      </c>
      <c r="B321" s="2">
        <v>45289</v>
      </c>
      <c r="C321" s="1" t="s">
        <v>105</v>
      </c>
      <c r="D321" s="1" t="s">
        <v>42</v>
      </c>
      <c r="E321" s="1" t="s">
        <v>15</v>
      </c>
      <c r="F321" s="1" t="s">
        <v>16</v>
      </c>
      <c r="G321" s="1" t="s">
        <v>227</v>
      </c>
      <c r="H321" s="3">
        <v>2</v>
      </c>
      <c r="I321" s="11">
        <v>4999</v>
      </c>
      <c r="J321" s="10">
        <v>0.25</v>
      </c>
      <c r="K321" s="12">
        <v>7498.5</v>
      </c>
      <c r="L321" s="1" t="s">
        <v>30</v>
      </c>
    </row>
    <row r="322" spans="1:12" x14ac:dyDescent="0.2">
      <c r="A322" s="1" t="s">
        <v>427</v>
      </c>
      <c r="B322" s="2">
        <v>44998</v>
      </c>
      <c r="C322" s="1" t="s">
        <v>82</v>
      </c>
      <c r="D322" s="1" t="s">
        <v>45</v>
      </c>
      <c r="E322" s="1" t="s">
        <v>46</v>
      </c>
      <c r="F322" s="1" t="s">
        <v>16</v>
      </c>
      <c r="G322" s="1" t="s">
        <v>227</v>
      </c>
      <c r="H322" s="3">
        <v>3</v>
      </c>
      <c r="I322" s="11">
        <v>4999</v>
      </c>
      <c r="J322" s="10">
        <v>0.15</v>
      </c>
      <c r="K322" s="12">
        <v>12747.45</v>
      </c>
      <c r="L322" s="1" t="s">
        <v>18</v>
      </c>
    </row>
    <row r="323" spans="1:12" x14ac:dyDescent="0.2">
      <c r="A323" s="1" t="s">
        <v>428</v>
      </c>
      <c r="B323" s="2">
        <v>45156</v>
      </c>
      <c r="C323" s="1" t="s">
        <v>27</v>
      </c>
      <c r="D323" s="1" t="s">
        <v>42</v>
      </c>
      <c r="E323" s="1" t="s">
        <v>15</v>
      </c>
      <c r="F323" s="1" t="s">
        <v>23</v>
      </c>
      <c r="G323" s="1" t="s">
        <v>144</v>
      </c>
      <c r="H323" s="3">
        <v>9</v>
      </c>
      <c r="I323" s="11">
        <v>4999</v>
      </c>
      <c r="J323" s="10">
        <v>0.2</v>
      </c>
      <c r="K323" s="12">
        <v>35992.800000000003</v>
      </c>
      <c r="L323" s="1" t="s">
        <v>18</v>
      </c>
    </row>
    <row r="324" spans="1:12" x14ac:dyDescent="0.2">
      <c r="A324" s="1" t="s">
        <v>429</v>
      </c>
      <c r="B324" s="2">
        <v>45111</v>
      </c>
      <c r="C324" s="1" t="s">
        <v>20</v>
      </c>
      <c r="D324" s="1" t="s">
        <v>111</v>
      </c>
      <c r="E324" s="1" t="s">
        <v>22</v>
      </c>
      <c r="F324" s="1" t="s">
        <v>37</v>
      </c>
      <c r="G324" s="1" t="s">
        <v>47</v>
      </c>
      <c r="H324" s="3">
        <v>4</v>
      </c>
      <c r="I324" s="11">
        <v>2999</v>
      </c>
      <c r="J324" s="10">
        <v>0.05</v>
      </c>
      <c r="K324" s="12">
        <v>11396.2</v>
      </c>
      <c r="L324" s="1" t="s">
        <v>39</v>
      </c>
    </row>
    <row r="325" spans="1:12" x14ac:dyDescent="0.2">
      <c r="A325" s="1" t="s">
        <v>430</v>
      </c>
      <c r="B325" s="2">
        <v>44949</v>
      </c>
      <c r="C325" s="1" t="s">
        <v>44</v>
      </c>
      <c r="D325" s="1" t="s">
        <v>66</v>
      </c>
      <c r="E325" s="1" t="s">
        <v>15</v>
      </c>
      <c r="F325" s="1" t="s">
        <v>58</v>
      </c>
      <c r="G325" s="1" t="s">
        <v>146</v>
      </c>
      <c r="H325" s="3">
        <v>2</v>
      </c>
      <c r="I325" s="11">
        <v>199</v>
      </c>
      <c r="J325" s="10">
        <v>0</v>
      </c>
      <c r="K325" s="12">
        <v>398</v>
      </c>
      <c r="L325" s="1" t="s">
        <v>54</v>
      </c>
    </row>
    <row r="326" spans="1:12" x14ac:dyDescent="0.2">
      <c r="A326" s="1" t="s">
        <v>431</v>
      </c>
      <c r="B326" s="2">
        <v>45040</v>
      </c>
      <c r="C326" s="1" t="s">
        <v>88</v>
      </c>
      <c r="D326" s="1" t="s">
        <v>70</v>
      </c>
      <c r="E326" s="1" t="s">
        <v>15</v>
      </c>
      <c r="F326" s="1" t="s">
        <v>28</v>
      </c>
      <c r="G326" s="1" t="s">
        <v>95</v>
      </c>
      <c r="H326" s="3">
        <v>6</v>
      </c>
      <c r="I326" s="11">
        <v>3999</v>
      </c>
      <c r="J326" s="10">
        <v>0.15</v>
      </c>
      <c r="K326" s="12">
        <v>20394.900000000001</v>
      </c>
      <c r="L326" s="1" t="s">
        <v>39</v>
      </c>
    </row>
    <row r="327" spans="1:12" x14ac:dyDescent="0.2">
      <c r="A327" s="1" t="s">
        <v>432</v>
      </c>
      <c r="B327" s="2">
        <v>45280</v>
      </c>
      <c r="C327" s="1" t="s">
        <v>88</v>
      </c>
      <c r="D327" s="1" t="s">
        <v>64</v>
      </c>
      <c r="E327" s="1" t="s">
        <v>46</v>
      </c>
      <c r="F327" s="1" t="s">
        <v>58</v>
      </c>
      <c r="G327" s="1" t="s">
        <v>59</v>
      </c>
      <c r="H327" s="3">
        <v>8</v>
      </c>
      <c r="I327" s="11">
        <v>499</v>
      </c>
      <c r="J327" s="10">
        <v>0.1</v>
      </c>
      <c r="K327" s="12">
        <v>3592.8</v>
      </c>
      <c r="L327" s="1" t="s">
        <v>30</v>
      </c>
    </row>
    <row r="328" spans="1:12" x14ac:dyDescent="0.2">
      <c r="A328" s="1" t="s">
        <v>433</v>
      </c>
      <c r="B328" s="2">
        <v>44970</v>
      </c>
      <c r="C328" s="1" t="s">
        <v>13</v>
      </c>
      <c r="D328" s="1" t="s">
        <v>64</v>
      </c>
      <c r="E328" s="1" t="s">
        <v>46</v>
      </c>
      <c r="F328" s="1" t="s">
        <v>58</v>
      </c>
      <c r="G328" s="1" t="s">
        <v>113</v>
      </c>
      <c r="H328" s="3">
        <v>6</v>
      </c>
      <c r="I328" s="11">
        <v>9999</v>
      </c>
      <c r="J328" s="10">
        <v>0.05</v>
      </c>
      <c r="K328" s="12">
        <v>56994.3</v>
      </c>
      <c r="L328" s="1" t="s">
        <v>39</v>
      </c>
    </row>
    <row r="329" spans="1:12" x14ac:dyDescent="0.2">
      <c r="A329" s="1" t="s">
        <v>434</v>
      </c>
      <c r="B329" s="2">
        <v>45174</v>
      </c>
      <c r="C329" s="1" t="s">
        <v>78</v>
      </c>
      <c r="D329" s="1" t="s">
        <v>42</v>
      </c>
      <c r="E329" s="1" t="s">
        <v>15</v>
      </c>
      <c r="F329" s="1" t="s">
        <v>37</v>
      </c>
      <c r="G329" s="1" t="s">
        <v>38</v>
      </c>
      <c r="H329" s="3">
        <v>8</v>
      </c>
      <c r="I329" s="11">
        <v>2499</v>
      </c>
      <c r="J329" s="10">
        <v>0</v>
      </c>
      <c r="K329" s="12">
        <v>19992</v>
      </c>
      <c r="L329" s="1" t="s">
        <v>54</v>
      </c>
    </row>
    <row r="330" spans="1:12" x14ac:dyDescent="0.2">
      <c r="A330" s="1" t="s">
        <v>435</v>
      </c>
      <c r="B330" s="2">
        <v>44949</v>
      </c>
      <c r="C330" s="1" t="s">
        <v>13</v>
      </c>
      <c r="D330" s="1" t="s">
        <v>14</v>
      </c>
      <c r="E330" s="1" t="s">
        <v>15</v>
      </c>
      <c r="F330" s="1" t="s">
        <v>58</v>
      </c>
      <c r="G330" s="1" t="s">
        <v>175</v>
      </c>
      <c r="H330" s="3">
        <v>2</v>
      </c>
      <c r="I330" s="11">
        <v>799</v>
      </c>
      <c r="J330" s="10">
        <v>0.25</v>
      </c>
      <c r="K330" s="12">
        <v>1198.5</v>
      </c>
      <c r="L330" s="1" t="s">
        <v>25</v>
      </c>
    </row>
    <row r="331" spans="1:12" x14ac:dyDescent="0.2">
      <c r="A331" s="1" t="s">
        <v>436</v>
      </c>
      <c r="B331" s="2">
        <v>45191</v>
      </c>
      <c r="C331" s="1" t="s">
        <v>75</v>
      </c>
      <c r="D331" s="1" t="s">
        <v>70</v>
      </c>
      <c r="E331" s="1" t="s">
        <v>15</v>
      </c>
      <c r="F331" s="1" t="s">
        <v>33</v>
      </c>
      <c r="G331" s="1" t="s">
        <v>188</v>
      </c>
      <c r="H331" s="3">
        <v>9</v>
      </c>
      <c r="I331" s="11">
        <v>4999</v>
      </c>
      <c r="J331" s="10">
        <v>0.15</v>
      </c>
      <c r="K331" s="12">
        <v>38242.35</v>
      </c>
      <c r="L331" s="1" t="s">
        <v>25</v>
      </c>
    </row>
    <row r="332" spans="1:12" x14ac:dyDescent="0.2">
      <c r="A332" s="1" t="s">
        <v>437</v>
      </c>
      <c r="B332" s="2">
        <v>45134</v>
      </c>
      <c r="C332" s="1" t="s">
        <v>75</v>
      </c>
      <c r="D332" s="1" t="s">
        <v>64</v>
      </c>
      <c r="E332" s="1" t="s">
        <v>46</v>
      </c>
      <c r="F332" s="1" t="s">
        <v>23</v>
      </c>
      <c r="G332" s="1" t="s">
        <v>99</v>
      </c>
      <c r="H332" s="3">
        <v>1</v>
      </c>
      <c r="I332" s="11">
        <v>999</v>
      </c>
      <c r="J332" s="10">
        <v>0.15</v>
      </c>
      <c r="K332" s="12">
        <v>849.15</v>
      </c>
      <c r="L332" s="1" t="s">
        <v>39</v>
      </c>
    </row>
    <row r="333" spans="1:12" x14ac:dyDescent="0.2">
      <c r="A333" s="1" t="s">
        <v>438</v>
      </c>
      <c r="B333" s="2">
        <v>45146</v>
      </c>
      <c r="C333" s="1" t="s">
        <v>49</v>
      </c>
      <c r="D333" s="1" t="s">
        <v>14</v>
      </c>
      <c r="E333" s="1" t="s">
        <v>15</v>
      </c>
      <c r="F333" s="1" t="s">
        <v>28</v>
      </c>
      <c r="G333" s="1" t="s">
        <v>149</v>
      </c>
      <c r="H333" s="3">
        <v>5</v>
      </c>
      <c r="I333" s="11">
        <v>399</v>
      </c>
      <c r="J333" s="10">
        <v>0.2</v>
      </c>
      <c r="K333" s="12">
        <v>1596</v>
      </c>
      <c r="L333" s="1" t="s">
        <v>18</v>
      </c>
    </row>
    <row r="334" spans="1:12" x14ac:dyDescent="0.2">
      <c r="A334" s="1" t="s">
        <v>439</v>
      </c>
      <c r="B334" s="2">
        <v>45201</v>
      </c>
      <c r="C334" s="1" t="s">
        <v>75</v>
      </c>
      <c r="D334" s="1" t="s">
        <v>98</v>
      </c>
      <c r="E334" s="1" t="s">
        <v>46</v>
      </c>
      <c r="F334" s="1" t="s">
        <v>58</v>
      </c>
      <c r="G334" s="1" t="s">
        <v>62</v>
      </c>
      <c r="H334" s="3">
        <v>8</v>
      </c>
      <c r="I334" s="11">
        <v>499</v>
      </c>
      <c r="J334" s="10">
        <v>0.1</v>
      </c>
      <c r="K334" s="12">
        <v>3592.8</v>
      </c>
      <c r="L334" s="1" t="s">
        <v>30</v>
      </c>
    </row>
    <row r="335" spans="1:12" x14ac:dyDescent="0.2">
      <c r="A335" s="1" t="s">
        <v>440</v>
      </c>
      <c r="B335" s="2">
        <v>45197</v>
      </c>
      <c r="C335" s="1" t="s">
        <v>36</v>
      </c>
      <c r="D335" s="1" t="s">
        <v>111</v>
      </c>
      <c r="E335" s="1" t="s">
        <v>22</v>
      </c>
      <c r="F335" s="1" t="s">
        <v>23</v>
      </c>
      <c r="G335" s="1" t="s">
        <v>144</v>
      </c>
      <c r="H335" s="3">
        <v>7</v>
      </c>
      <c r="I335" s="11">
        <v>499</v>
      </c>
      <c r="J335" s="10">
        <v>0.1</v>
      </c>
      <c r="K335" s="12">
        <v>3143.7</v>
      </c>
      <c r="L335" s="1" t="s">
        <v>54</v>
      </c>
    </row>
    <row r="336" spans="1:12" x14ac:dyDescent="0.2">
      <c r="A336" s="1" t="s">
        <v>441</v>
      </c>
      <c r="B336" s="2">
        <v>45161</v>
      </c>
      <c r="C336" s="1" t="s">
        <v>27</v>
      </c>
      <c r="D336" s="1" t="s">
        <v>64</v>
      </c>
      <c r="E336" s="1" t="s">
        <v>46</v>
      </c>
      <c r="F336" s="1" t="s">
        <v>16</v>
      </c>
      <c r="G336" s="1" t="s">
        <v>71</v>
      </c>
      <c r="H336" s="3">
        <v>10</v>
      </c>
      <c r="I336" s="11">
        <v>399</v>
      </c>
      <c r="J336" s="10">
        <v>0.25</v>
      </c>
      <c r="K336" s="12">
        <v>2992.5</v>
      </c>
      <c r="L336" s="1" t="s">
        <v>25</v>
      </c>
    </row>
    <row r="337" spans="1:12" x14ac:dyDescent="0.2">
      <c r="A337" s="1" t="s">
        <v>442</v>
      </c>
      <c r="B337" s="2">
        <v>45087</v>
      </c>
      <c r="C337" s="1" t="s">
        <v>13</v>
      </c>
      <c r="D337" s="1" t="s">
        <v>45</v>
      </c>
      <c r="E337" s="1" t="s">
        <v>46</v>
      </c>
      <c r="F337" s="1" t="s">
        <v>16</v>
      </c>
      <c r="G337" s="1" t="s">
        <v>137</v>
      </c>
      <c r="H337" s="3">
        <v>3</v>
      </c>
      <c r="I337" s="11">
        <v>2999</v>
      </c>
      <c r="J337" s="10">
        <v>0.25</v>
      </c>
      <c r="K337" s="12">
        <v>6747.75</v>
      </c>
      <c r="L337" s="1" t="s">
        <v>25</v>
      </c>
    </row>
    <row r="338" spans="1:12" x14ac:dyDescent="0.2">
      <c r="A338" s="1" t="s">
        <v>443</v>
      </c>
      <c r="B338" s="2">
        <v>45188</v>
      </c>
      <c r="C338" s="1" t="s">
        <v>49</v>
      </c>
      <c r="D338" s="1" t="s">
        <v>66</v>
      </c>
      <c r="E338" s="1" t="s">
        <v>15</v>
      </c>
      <c r="F338" s="1" t="s">
        <v>33</v>
      </c>
      <c r="G338" s="1" t="s">
        <v>56</v>
      </c>
      <c r="H338" s="3">
        <v>7</v>
      </c>
      <c r="I338" s="11">
        <v>4999</v>
      </c>
      <c r="J338" s="10">
        <v>0.05</v>
      </c>
      <c r="K338" s="12">
        <v>33243.35</v>
      </c>
      <c r="L338" s="1" t="s">
        <v>30</v>
      </c>
    </row>
    <row r="339" spans="1:12" x14ac:dyDescent="0.2">
      <c r="A339" s="1" t="s">
        <v>444</v>
      </c>
      <c r="B339" s="2">
        <v>45252</v>
      </c>
      <c r="C339" s="1" t="s">
        <v>20</v>
      </c>
      <c r="D339" s="1" t="s">
        <v>64</v>
      </c>
      <c r="E339" s="1" t="s">
        <v>46</v>
      </c>
      <c r="F339" s="1" t="s">
        <v>33</v>
      </c>
      <c r="G339" s="1" t="s">
        <v>119</v>
      </c>
      <c r="H339" s="3">
        <v>5</v>
      </c>
      <c r="I339" s="11">
        <v>599</v>
      </c>
      <c r="J339" s="10">
        <v>0.05</v>
      </c>
      <c r="K339" s="12">
        <v>2845.25</v>
      </c>
      <c r="L339" s="1" t="s">
        <v>54</v>
      </c>
    </row>
    <row r="340" spans="1:12" x14ac:dyDescent="0.2">
      <c r="A340" s="1" t="s">
        <v>445</v>
      </c>
      <c r="B340" s="2">
        <v>45157</v>
      </c>
      <c r="C340" s="1" t="s">
        <v>27</v>
      </c>
      <c r="D340" s="1" t="s">
        <v>14</v>
      </c>
      <c r="E340" s="1" t="s">
        <v>15</v>
      </c>
      <c r="F340" s="1" t="s">
        <v>58</v>
      </c>
      <c r="G340" s="1" t="s">
        <v>59</v>
      </c>
      <c r="H340" s="3">
        <v>8</v>
      </c>
      <c r="I340" s="11">
        <v>599</v>
      </c>
      <c r="J340" s="10">
        <v>0.05</v>
      </c>
      <c r="K340" s="12">
        <v>4552.3999999999996</v>
      </c>
      <c r="L340" s="1" t="s">
        <v>30</v>
      </c>
    </row>
    <row r="341" spans="1:12" x14ac:dyDescent="0.2">
      <c r="A341" s="1" t="s">
        <v>446</v>
      </c>
      <c r="B341" s="2">
        <v>45214</v>
      </c>
      <c r="C341" s="1" t="s">
        <v>88</v>
      </c>
      <c r="D341" s="1" t="s">
        <v>42</v>
      </c>
      <c r="E341" s="1" t="s">
        <v>15</v>
      </c>
      <c r="F341" s="1" t="s">
        <v>23</v>
      </c>
      <c r="G341" s="1" t="s">
        <v>135</v>
      </c>
      <c r="H341" s="3">
        <v>8</v>
      </c>
      <c r="I341" s="11">
        <v>4999</v>
      </c>
      <c r="J341" s="10">
        <v>0.25</v>
      </c>
      <c r="K341" s="12">
        <v>29994</v>
      </c>
      <c r="L341" s="1" t="s">
        <v>30</v>
      </c>
    </row>
    <row r="342" spans="1:12" x14ac:dyDescent="0.2">
      <c r="A342" s="1" t="s">
        <v>447</v>
      </c>
      <c r="B342" s="2">
        <v>45177</v>
      </c>
      <c r="C342" s="1" t="s">
        <v>75</v>
      </c>
      <c r="D342" s="1" t="s">
        <v>21</v>
      </c>
      <c r="E342" s="1" t="s">
        <v>22</v>
      </c>
      <c r="F342" s="1" t="s">
        <v>79</v>
      </c>
      <c r="G342" s="1" t="s">
        <v>83</v>
      </c>
      <c r="H342" s="3">
        <v>5</v>
      </c>
      <c r="I342" s="11">
        <v>299</v>
      </c>
      <c r="J342" s="10">
        <v>0.1</v>
      </c>
      <c r="K342" s="12">
        <v>1345.5</v>
      </c>
      <c r="L342" s="1" t="s">
        <v>25</v>
      </c>
    </row>
    <row r="343" spans="1:12" x14ac:dyDescent="0.2">
      <c r="A343" s="1" t="s">
        <v>448</v>
      </c>
      <c r="B343" s="2">
        <v>45202</v>
      </c>
      <c r="C343" s="1" t="s">
        <v>82</v>
      </c>
      <c r="D343" s="1" t="s">
        <v>64</v>
      </c>
      <c r="E343" s="1" t="s">
        <v>46</v>
      </c>
      <c r="F343" s="1" t="s">
        <v>52</v>
      </c>
      <c r="G343" s="1" t="s">
        <v>202</v>
      </c>
      <c r="H343" s="3">
        <v>8</v>
      </c>
      <c r="I343" s="11">
        <v>49999</v>
      </c>
      <c r="J343" s="10">
        <v>0.2</v>
      </c>
      <c r="K343" s="12">
        <v>319993.59999999998</v>
      </c>
      <c r="L343" s="1" t="s">
        <v>18</v>
      </c>
    </row>
    <row r="344" spans="1:12" x14ac:dyDescent="0.2">
      <c r="A344" s="1" t="s">
        <v>449</v>
      </c>
      <c r="B344" s="2">
        <v>45220</v>
      </c>
      <c r="C344" s="1" t="s">
        <v>13</v>
      </c>
      <c r="D344" s="1" t="s">
        <v>50</v>
      </c>
      <c r="E344" s="1" t="s">
        <v>51</v>
      </c>
      <c r="F344" s="1" t="s">
        <v>58</v>
      </c>
      <c r="G344" s="1" t="s">
        <v>215</v>
      </c>
      <c r="H344" s="3">
        <v>1</v>
      </c>
      <c r="I344" s="11">
        <v>9999</v>
      </c>
      <c r="J344" s="10">
        <v>0.2</v>
      </c>
      <c r="K344" s="12">
        <v>7999.2</v>
      </c>
      <c r="L344" s="1" t="s">
        <v>25</v>
      </c>
    </row>
    <row r="345" spans="1:12" x14ac:dyDescent="0.2">
      <c r="A345" s="1" t="s">
        <v>450</v>
      </c>
      <c r="B345" s="2">
        <v>45144</v>
      </c>
      <c r="C345" s="1" t="s">
        <v>13</v>
      </c>
      <c r="D345" s="1" t="s">
        <v>45</v>
      </c>
      <c r="E345" s="1" t="s">
        <v>46</v>
      </c>
      <c r="F345" s="1" t="s">
        <v>16</v>
      </c>
      <c r="G345" s="1" t="s">
        <v>137</v>
      </c>
      <c r="H345" s="3">
        <v>8</v>
      </c>
      <c r="I345" s="11">
        <v>1499</v>
      </c>
      <c r="J345" s="10">
        <v>0.1</v>
      </c>
      <c r="K345" s="12">
        <v>10792.8</v>
      </c>
      <c r="L345" s="1" t="s">
        <v>18</v>
      </c>
    </row>
    <row r="346" spans="1:12" x14ac:dyDescent="0.2">
      <c r="A346" s="1" t="s">
        <v>451</v>
      </c>
      <c r="B346" s="2">
        <v>45151</v>
      </c>
      <c r="C346" s="1" t="s">
        <v>13</v>
      </c>
      <c r="D346" s="1" t="s">
        <v>45</v>
      </c>
      <c r="E346" s="1" t="s">
        <v>46</v>
      </c>
      <c r="F346" s="1" t="s">
        <v>28</v>
      </c>
      <c r="G346" s="1" t="s">
        <v>29</v>
      </c>
      <c r="H346" s="3">
        <v>10</v>
      </c>
      <c r="I346" s="11">
        <v>2999</v>
      </c>
      <c r="J346" s="10">
        <v>0.25</v>
      </c>
      <c r="K346" s="12">
        <v>22492.5</v>
      </c>
      <c r="L346" s="1" t="s">
        <v>39</v>
      </c>
    </row>
    <row r="347" spans="1:12" x14ac:dyDescent="0.2">
      <c r="A347" s="1" t="s">
        <v>452</v>
      </c>
      <c r="B347" s="2">
        <v>45250</v>
      </c>
      <c r="C347" s="1" t="s">
        <v>97</v>
      </c>
      <c r="D347" s="1" t="s">
        <v>64</v>
      </c>
      <c r="E347" s="1" t="s">
        <v>46</v>
      </c>
      <c r="F347" s="1" t="s">
        <v>33</v>
      </c>
      <c r="G347" s="1" t="s">
        <v>142</v>
      </c>
      <c r="H347" s="3">
        <v>4</v>
      </c>
      <c r="I347" s="11">
        <v>299</v>
      </c>
      <c r="J347" s="10">
        <v>0.2</v>
      </c>
      <c r="K347" s="12">
        <v>956.8</v>
      </c>
      <c r="L347" s="1" t="s">
        <v>54</v>
      </c>
    </row>
    <row r="348" spans="1:12" x14ac:dyDescent="0.2">
      <c r="A348" s="1" t="s">
        <v>453</v>
      </c>
      <c r="B348" s="2">
        <v>45199</v>
      </c>
      <c r="C348" s="1" t="s">
        <v>32</v>
      </c>
      <c r="D348" s="1" t="s">
        <v>111</v>
      </c>
      <c r="E348" s="1" t="s">
        <v>22</v>
      </c>
      <c r="F348" s="1" t="s">
        <v>33</v>
      </c>
      <c r="G348" s="1" t="s">
        <v>188</v>
      </c>
      <c r="H348" s="3">
        <v>5</v>
      </c>
      <c r="I348" s="11">
        <v>1999</v>
      </c>
      <c r="J348" s="10">
        <v>0.2</v>
      </c>
      <c r="K348" s="12">
        <v>7996</v>
      </c>
      <c r="L348" s="1" t="s">
        <v>54</v>
      </c>
    </row>
    <row r="349" spans="1:12" x14ac:dyDescent="0.2">
      <c r="A349" s="1" t="s">
        <v>454</v>
      </c>
      <c r="B349" s="2">
        <v>45190</v>
      </c>
      <c r="C349" s="1" t="s">
        <v>13</v>
      </c>
      <c r="D349" s="1" t="s">
        <v>64</v>
      </c>
      <c r="E349" s="1" t="s">
        <v>46</v>
      </c>
      <c r="F349" s="1" t="s">
        <v>23</v>
      </c>
      <c r="G349" s="1" t="s">
        <v>24</v>
      </c>
      <c r="H349" s="3">
        <v>5</v>
      </c>
      <c r="I349" s="11">
        <v>599</v>
      </c>
      <c r="J349" s="10">
        <v>0.25</v>
      </c>
      <c r="K349" s="12">
        <v>2246.25</v>
      </c>
      <c r="L349" s="1" t="s">
        <v>25</v>
      </c>
    </row>
    <row r="350" spans="1:12" x14ac:dyDescent="0.2">
      <c r="A350" s="1" t="s">
        <v>455</v>
      </c>
      <c r="B350" s="2">
        <v>45054</v>
      </c>
      <c r="C350" s="1" t="s">
        <v>115</v>
      </c>
      <c r="D350" s="1" t="s">
        <v>98</v>
      </c>
      <c r="E350" s="1" t="s">
        <v>46</v>
      </c>
      <c r="F350" s="1" t="s">
        <v>28</v>
      </c>
      <c r="G350" s="1" t="s">
        <v>29</v>
      </c>
      <c r="H350" s="3">
        <v>7</v>
      </c>
      <c r="I350" s="11">
        <v>14999</v>
      </c>
      <c r="J350" s="10">
        <v>0.05</v>
      </c>
      <c r="K350" s="12">
        <v>99743.35</v>
      </c>
      <c r="L350" s="1" t="s">
        <v>39</v>
      </c>
    </row>
    <row r="351" spans="1:12" x14ac:dyDescent="0.2">
      <c r="A351" s="1" t="s">
        <v>456</v>
      </c>
      <c r="B351" s="2">
        <v>45250</v>
      </c>
      <c r="C351" s="1" t="s">
        <v>32</v>
      </c>
      <c r="D351" s="1" t="s">
        <v>66</v>
      </c>
      <c r="E351" s="1" t="s">
        <v>15</v>
      </c>
      <c r="F351" s="1" t="s">
        <v>23</v>
      </c>
      <c r="G351" s="1" t="s">
        <v>99</v>
      </c>
      <c r="H351" s="3">
        <v>2</v>
      </c>
      <c r="I351" s="11">
        <v>399</v>
      </c>
      <c r="J351" s="10">
        <v>0.15</v>
      </c>
      <c r="K351" s="12">
        <v>678.3</v>
      </c>
      <c r="L351" s="1" t="s">
        <v>39</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BD88A-F494-104E-97A3-D541FC8BCDED}">
  <dimension ref="A1:AC125"/>
  <sheetViews>
    <sheetView showGridLines="0" tabSelected="1" zoomScale="44" zoomScaleNormal="109" workbookViewId="0">
      <selection activeCell="AK47" sqref="AK47"/>
    </sheetView>
  </sheetViews>
  <sheetFormatPr baseColWidth="10" defaultRowHeight="15" x14ac:dyDescent="0.2"/>
  <cols>
    <col min="1" max="5" width="10.83203125" style="18"/>
    <col min="6" max="6" width="18.1640625" style="18" customWidth="1"/>
    <col min="7" max="13" width="10.83203125" style="18"/>
    <col min="14" max="14" width="13.33203125" style="18" customWidth="1"/>
    <col min="15" max="15" width="10.83203125" style="18"/>
    <col min="16" max="16" width="10.83203125" style="18" customWidth="1"/>
    <col min="17" max="18" width="10.83203125" style="18"/>
    <col min="19" max="19" width="14.5" style="18" customWidth="1"/>
    <col min="20" max="20" width="11.83203125" style="18" customWidth="1"/>
    <col min="21" max="21" width="10.83203125" style="18"/>
    <col min="22" max="22" width="12.6640625" style="18" customWidth="1"/>
    <col min="23" max="16384" width="10.83203125" style="18"/>
  </cols>
  <sheetData>
    <row r="1" spans="1:29" x14ac:dyDescent="0.2">
      <c r="A1" s="32"/>
      <c r="B1" s="32"/>
      <c r="C1" s="32"/>
      <c r="D1" s="32"/>
      <c r="E1" s="32"/>
      <c r="F1" s="32"/>
      <c r="G1" s="40" t="s">
        <v>523</v>
      </c>
      <c r="H1" s="41"/>
      <c r="I1" s="41"/>
      <c r="J1" s="41"/>
      <c r="K1" s="41"/>
      <c r="L1" s="41"/>
      <c r="M1" s="41"/>
      <c r="N1" s="41"/>
      <c r="O1" s="41"/>
      <c r="P1" s="41"/>
      <c r="Q1" s="41"/>
      <c r="R1" s="41"/>
      <c r="S1" s="41"/>
      <c r="T1" s="41"/>
      <c r="U1" s="41"/>
      <c r="V1" s="41"/>
      <c r="W1" s="41"/>
      <c r="X1" s="32"/>
      <c r="Y1" s="32"/>
      <c r="Z1" s="32"/>
      <c r="AA1" s="32"/>
      <c r="AB1" s="32"/>
      <c r="AC1" s="32"/>
    </row>
    <row r="2" spans="1:29" x14ac:dyDescent="0.2">
      <c r="A2" s="32"/>
      <c r="B2" s="32"/>
      <c r="C2" s="32"/>
      <c r="D2" s="32"/>
      <c r="E2" s="32"/>
      <c r="F2" s="32"/>
      <c r="G2" s="41"/>
      <c r="H2" s="41"/>
      <c r="I2" s="41"/>
      <c r="J2" s="41"/>
      <c r="K2" s="41"/>
      <c r="L2" s="41"/>
      <c r="M2" s="41"/>
      <c r="N2" s="41"/>
      <c r="O2" s="41"/>
      <c r="P2" s="41"/>
      <c r="Q2" s="41"/>
      <c r="R2" s="41"/>
      <c r="S2" s="41"/>
      <c r="T2" s="41"/>
      <c r="U2" s="41"/>
      <c r="V2" s="41"/>
      <c r="W2" s="41"/>
      <c r="X2" s="32"/>
      <c r="Y2" s="32"/>
      <c r="Z2" s="32"/>
      <c r="AA2" s="32"/>
      <c r="AB2" s="32"/>
      <c r="AC2" s="32"/>
    </row>
    <row r="3" spans="1:29" x14ac:dyDescent="0.2">
      <c r="A3" s="32"/>
      <c r="B3" s="32"/>
      <c r="C3" s="32"/>
      <c r="D3" s="32"/>
      <c r="E3" s="32"/>
      <c r="F3" s="32"/>
      <c r="G3" s="41"/>
      <c r="H3" s="41"/>
      <c r="I3" s="41"/>
      <c r="J3" s="41"/>
      <c r="K3" s="41"/>
      <c r="L3" s="41"/>
      <c r="M3" s="41"/>
      <c r="N3" s="41"/>
      <c r="O3" s="41"/>
      <c r="P3" s="41"/>
      <c r="Q3" s="41"/>
      <c r="R3" s="41"/>
      <c r="S3" s="41"/>
      <c r="T3" s="41"/>
      <c r="U3" s="41"/>
      <c r="V3" s="41"/>
      <c r="W3" s="41"/>
      <c r="X3" s="32"/>
      <c r="Y3" s="32"/>
      <c r="Z3" s="32"/>
      <c r="AA3" s="32"/>
      <c r="AB3" s="32"/>
      <c r="AC3" s="32"/>
    </row>
    <row r="4" spans="1:29" x14ac:dyDescent="0.2">
      <c r="A4" s="32"/>
      <c r="B4" s="32"/>
      <c r="C4" s="32"/>
      <c r="D4" s="32"/>
      <c r="E4" s="32"/>
      <c r="F4" s="32"/>
      <c r="G4" s="41"/>
      <c r="H4" s="41"/>
      <c r="I4" s="41"/>
      <c r="J4" s="41"/>
      <c r="K4" s="41"/>
      <c r="L4" s="41"/>
      <c r="M4" s="41"/>
      <c r="N4" s="41"/>
      <c r="O4" s="41"/>
      <c r="P4" s="41"/>
      <c r="Q4" s="41"/>
      <c r="R4" s="41"/>
      <c r="S4" s="41"/>
      <c r="T4" s="41"/>
      <c r="U4" s="41"/>
      <c r="V4" s="41"/>
      <c r="W4" s="41"/>
      <c r="X4" s="32"/>
      <c r="Y4" s="32"/>
      <c r="Z4" s="32"/>
      <c r="AA4" s="32"/>
      <c r="AB4" s="32"/>
      <c r="AC4" s="32"/>
    </row>
    <row r="5" spans="1:29" x14ac:dyDescent="0.2">
      <c r="A5" s="32"/>
      <c r="B5" s="32"/>
      <c r="C5" s="32"/>
      <c r="D5" s="32"/>
      <c r="E5" s="32"/>
      <c r="F5" s="32"/>
      <c r="G5" s="41"/>
      <c r="H5" s="41"/>
      <c r="I5" s="41"/>
      <c r="J5" s="41"/>
      <c r="K5" s="41"/>
      <c r="L5" s="41"/>
      <c r="M5" s="41"/>
      <c r="N5" s="41"/>
      <c r="O5" s="41"/>
      <c r="P5" s="41"/>
      <c r="Q5" s="41"/>
      <c r="R5" s="41"/>
      <c r="S5" s="41"/>
      <c r="T5" s="41"/>
      <c r="U5" s="41"/>
      <c r="V5" s="41"/>
      <c r="W5" s="41"/>
      <c r="X5" s="32"/>
      <c r="Y5" s="32"/>
      <c r="Z5" s="32"/>
      <c r="AA5" s="32"/>
      <c r="AB5" s="32"/>
      <c r="AC5" s="32"/>
    </row>
    <row r="6" spans="1:29" x14ac:dyDescent="0.2">
      <c r="A6" s="32"/>
      <c r="B6" s="32"/>
      <c r="C6" s="32"/>
      <c r="D6" s="32"/>
      <c r="E6" s="32"/>
      <c r="F6" s="32"/>
      <c r="G6" s="41"/>
      <c r="H6" s="41"/>
      <c r="I6" s="41"/>
      <c r="J6" s="41"/>
      <c r="K6" s="41"/>
      <c r="L6" s="41"/>
      <c r="M6" s="41"/>
      <c r="N6" s="41"/>
      <c r="O6" s="41"/>
      <c r="P6" s="41"/>
      <c r="Q6" s="41"/>
      <c r="R6" s="41"/>
      <c r="S6" s="41"/>
      <c r="T6" s="41"/>
      <c r="U6" s="41"/>
      <c r="V6" s="41"/>
      <c r="W6" s="41"/>
      <c r="X6" s="32"/>
      <c r="Y6" s="32"/>
      <c r="Z6" s="32"/>
      <c r="AA6" s="32"/>
      <c r="AB6" s="32"/>
      <c r="AC6" s="32"/>
    </row>
    <row r="7" spans="1:29" x14ac:dyDescent="0.2">
      <c r="A7" s="32"/>
      <c r="B7" s="32"/>
      <c r="C7" s="32"/>
      <c r="Y7"/>
      <c r="Z7"/>
      <c r="AA7"/>
      <c r="AB7" s="32"/>
      <c r="AC7" s="32"/>
    </row>
    <row r="8" spans="1:29" ht="16" thickBot="1" x14ac:dyDescent="0.25">
      <c r="A8" s="32"/>
      <c r="B8" s="32"/>
      <c r="C8" s="32"/>
      <c r="Y8"/>
      <c r="Z8"/>
      <c r="AA8"/>
      <c r="AB8" s="32"/>
      <c r="AC8" s="32"/>
    </row>
    <row r="9" spans="1:29" ht="15" customHeight="1" x14ac:dyDescent="0.2">
      <c r="A9" s="32"/>
      <c r="B9" s="32"/>
      <c r="C9" s="32"/>
      <c r="E9" s="42" t="s">
        <v>493</v>
      </c>
      <c r="F9" s="43"/>
      <c r="G9" s="44"/>
      <c r="I9" s="42" t="s">
        <v>497</v>
      </c>
      <c r="J9" s="43"/>
      <c r="K9" s="44"/>
      <c r="M9" s="42" t="s">
        <v>512</v>
      </c>
      <c r="N9" s="43"/>
      <c r="O9" s="44"/>
      <c r="Q9" s="42" t="s">
        <v>499</v>
      </c>
      <c r="R9" s="43"/>
      <c r="S9" s="44"/>
      <c r="W9"/>
      <c r="X9"/>
      <c r="Y9"/>
      <c r="Z9"/>
      <c r="AA9"/>
      <c r="AB9" s="32"/>
      <c r="AC9" s="32"/>
    </row>
    <row r="10" spans="1:29" ht="16" customHeight="1" thickBot="1" x14ac:dyDescent="0.25">
      <c r="A10" s="32"/>
      <c r="B10" s="32"/>
      <c r="C10" s="32"/>
      <c r="E10" s="45"/>
      <c r="F10" s="46"/>
      <c r="G10" s="47"/>
      <c r="I10" s="45"/>
      <c r="J10" s="46"/>
      <c r="K10" s="47"/>
      <c r="M10" s="60"/>
      <c r="N10" s="61"/>
      <c r="O10" s="62"/>
      <c r="Q10" s="45"/>
      <c r="R10" s="46"/>
      <c r="S10" s="47"/>
      <c r="W10"/>
      <c r="X10"/>
      <c r="Y10"/>
      <c r="Z10"/>
      <c r="AA10"/>
      <c r="AB10" s="32"/>
      <c r="AC10" s="32"/>
    </row>
    <row r="11" spans="1:29" ht="25" customHeight="1" x14ac:dyDescent="0.2">
      <c r="A11" s="32"/>
      <c r="B11" s="32"/>
      <c r="C11" s="32"/>
      <c r="E11" s="48">
        <f>SUM('Sales Data'!K:K)</f>
        <v>12474178.150000008</v>
      </c>
      <c r="F11" s="49"/>
      <c r="G11" s="50"/>
      <c r="I11" s="54">
        <f>COUNTA('Sales Data'!A:A)-1</f>
        <v>350</v>
      </c>
      <c r="J11" s="55"/>
      <c r="K11" s="56"/>
      <c r="M11" s="48">
        <f>ROUND(SUM('Sales Data'!K:K)/(COUNTA('Sales Data'!A:A)-1),2)</f>
        <v>35640.51</v>
      </c>
      <c r="N11" s="49"/>
      <c r="O11" s="50"/>
      <c r="Q11" s="48" t="s">
        <v>33</v>
      </c>
      <c r="R11" s="49"/>
      <c r="S11" s="50"/>
      <c r="W11"/>
      <c r="X11"/>
      <c r="Y11"/>
      <c r="Z11"/>
      <c r="AA11"/>
      <c r="AB11" s="32"/>
      <c r="AC11" s="32"/>
    </row>
    <row r="12" spans="1:29" ht="16" thickBot="1" x14ac:dyDescent="0.25">
      <c r="A12" s="32"/>
      <c r="B12" s="32"/>
      <c r="C12" s="32"/>
      <c r="E12" s="51"/>
      <c r="F12" s="52"/>
      <c r="G12" s="53"/>
      <c r="I12" s="57"/>
      <c r="J12" s="58"/>
      <c r="K12" s="59"/>
      <c r="M12" s="51"/>
      <c r="N12" s="52"/>
      <c r="O12" s="53"/>
      <c r="Q12" s="51"/>
      <c r="R12" s="52"/>
      <c r="S12" s="53"/>
      <c r="W12"/>
      <c r="X12"/>
      <c r="Y12"/>
      <c r="Z12"/>
      <c r="AA12"/>
      <c r="AB12" s="32"/>
      <c r="AC12" s="32"/>
    </row>
    <row r="13" spans="1:29" x14ac:dyDescent="0.2">
      <c r="A13" s="32"/>
      <c r="B13" s="32"/>
      <c r="C13" s="32"/>
      <c r="Y13"/>
      <c r="Z13"/>
      <c r="AA13"/>
      <c r="AB13" s="32"/>
      <c r="AC13" s="32"/>
    </row>
    <row r="14" spans="1:29" x14ac:dyDescent="0.2">
      <c r="A14" s="32"/>
      <c r="B14" s="32"/>
      <c r="C14" s="32"/>
      <c r="Y14"/>
      <c r="Z14"/>
      <c r="AA14"/>
      <c r="AB14" s="32"/>
      <c r="AC14" s="32"/>
    </row>
    <row r="15" spans="1:29" x14ac:dyDescent="0.2">
      <c r="A15" s="32"/>
      <c r="B15" s="32"/>
      <c r="C15" s="32"/>
      <c r="Y15"/>
      <c r="Z15"/>
      <c r="AA15"/>
      <c r="AB15" s="32"/>
      <c r="AC15" s="32"/>
    </row>
    <row r="16" spans="1:29" x14ac:dyDescent="0.2">
      <c r="A16" s="32"/>
      <c r="B16" s="32"/>
      <c r="C16" s="32"/>
      <c r="Y16"/>
      <c r="Z16"/>
      <c r="AA16"/>
      <c r="AB16" s="32"/>
      <c r="AC16" s="32"/>
    </row>
    <row r="17" spans="1:29" x14ac:dyDescent="0.2">
      <c r="A17" s="32"/>
      <c r="B17" s="32"/>
      <c r="C17" s="32"/>
      <c r="Y17"/>
      <c r="Z17"/>
      <c r="AA17"/>
      <c r="AB17" s="32"/>
      <c r="AC17" s="32"/>
    </row>
    <row r="18" spans="1:29" x14ac:dyDescent="0.2">
      <c r="A18" s="32"/>
      <c r="B18" s="32"/>
      <c r="C18" s="32"/>
      <c r="Y18"/>
      <c r="Z18"/>
      <c r="AA18"/>
      <c r="AB18" s="32"/>
      <c r="AC18" s="32"/>
    </row>
    <row r="19" spans="1:29" x14ac:dyDescent="0.2">
      <c r="A19" s="32"/>
      <c r="B19" s="32"/>
      <c r="C19" s="32"/>
      <c r="Y19"/>
      <c r="Z19"/>
      <c r="AA19"/>
      <c r="AB19" s="32"/>
      <c r="AC19" s="32"/>
    </row>
    <row r="20" spans="1:29" x14ac:dyDescent="0.2">
      <c r="A20" s="32"/>
      <c r="B20" s="32"/>
      <c r="C20" s="32"/>
      <c r="Y20"/>
      <c r="Z20"/>
      <c r="AA20"/>
      <c r="AB20" s="32"/>
      <c r="AC20" s="32"/>
    </row>
    <row r="21" spans="1:29" x14ac:dyDescent="0.2">
      <c r="A21" s="32"/>
      <c r="B21" s="32"/>
      <c r="C21" s="32"/>
      <c r="Y21"/>
      <c r="Z21"/>
      <c r="AA21"/>
      <c r="AB21" s="32"/>
      <c r="AC21" s="32"/>
    </row>
    <row r="22" spans="1:29" x14ac:dyDescent="0.2">
      <c r="A22" s="32"/>
      <c r="B22" s="32"/>
      <c r="C22" s="32"/>
      <c r="Y22"/>
      <c r="Z22"/>
      <c r="AA22"/>
      <c r="AB22" s="32"/>
      <c r="AC22" s="32"/>
    </row>
    <row r="23" spans="1:29" x14ac:dyDescent="0.2">
      <c r="A23" s="32"/>
      <c r="B23" s="32"/>
      <c r="C23" s="32"/>
      <c r="Y23"/>
      <c r="Z23"/>
      <c r="AA23"/>
      <c r="AB23" s="32"/>
      <c r="AC23" s="32"/>
    </row>
    <row r="24" spans="1:29" x14ac:dyDescent="0.2">
      <c r="A24" s="32"/>
      <c r="B24" s="32"/>
      <c r="C24" s="32"/>
      <c r="Y24"/>
      <c r="Z24"/>
      <c r="AA24"/>
      <c r="AB24" s="32"/>
      <c r="AC24" s="32"/>
    </row>
    <row r="25" spans="1:29" x14ac:dyDescent="0.2">
      <c r="A25" s="32"/>
      <c r="B25" s="32"/>
      <c r="C25" s="32"/>
      <c r="Y25"/>
      <c r="Z25"/>
      <c r="AA25"/>
      <c r="AB25" s="32"/>
      <c r="AC25" s="32"/>
    </row>
    <row r="26" spans="1:29" x14ac:dyDescent="0.2">
      <c r="A26" s="32"/>
      <c r="B26" s="32"/>
      <c r="C26" s="32"/>
      <c r="Y26"/>
      <c r="Z26"/>
      <c r="AA26"/>
      <c r="AB26" s="32"/>
      <c r="AC26" s="32"/>
    </row>
    <row r="27" spans="1:29" x14ac:dyDescent="0.2">
      <c r="A27" s="32"/>
      <c r="B27" s="32"/>
      <c r="C27" s="32"/>
      <c r="Y27"/>
      <c r="Z27"/>
      <c r="AA27"/>
      <c r="AB27" s="32"/>
      <c r="AC27" s="32"/>
    </row>
    <row r="28" spans="1:29" x14ac:dyDescent="0.2">
      <c r="A28" s="32"/>
      <c r="B28" s="32"/>
      <c r="C28" s="32"/>
      <c r="Y28"/>
      <c r="Z28"/>
      <c r="AA28"/>
      <c r="AB28" s="32"/>
      <c r="AC28" s="32"/>
    </row>
    <row r="29" spans="1:29" x14ac:dyDescent="0.2">
      <c r="A29" s="32"/>
      <c r="B29" s="32"/>
      <c r="C29" s="32"/>
      <c r="Y29"/>
      <c r="Z29"/>
      <c r="AA29"/>
      <c r="AB29" s="32"/>
      <c r="AC29" s="32"/>
    </row>
    <row r="30" spans="1:29" x14ac:dyDescent="0.2">
      <c r="A30" s="32"/>
      <c r="B30" s="32"/>
      <c r="C30" s="32"/>
      <c r="Y30"/>
      <c r="Z30"/>
      <c r="AA30"/>
      <c r="AB30" s="32"/>
      <c r="AC30" s="32"/>
    </row>
    <row r="31" spans="1:29" x14ac:dyDescent="0.2">
      <c r="A31" s="32"/>
      <c r="B31" s="32"/>
      <c r="C31" s="32"/>
      <c r="Y31"/>
      <c r="Z31"/>
      <c r="AA31"/>
      <c r="AB31" s="32"/>
      <c r="AC31" s="32"/>
    </row>
    <row r="32" spans="1:29" x14ac:dyDescent="0.2">
      <c r="A32" s="32"/>
      <c r="B32" s="32"/>
      <c r="C32" s="32"/>
      <c r="Y32"/>
      <c r="Z32"/>
      <c r="AA32"/>
      <c r="AB32" s="32"/>
      <c r="AC32" s="32"/>
    </row>
    <row r="33" spans="1:29" x14ac:dyDescent="0.2">
      <c r="A33" s="32"/>
      <c r="B33" s="32"/>
      <c r="C33" s="32"/>
      <c r="Y33"/>
      <c r="Z33"/>
      <c r="AA33"/>
      <c r="AB33" s="32"/>
      <c r="AC33" s="32"/>
    </row>
    <row r="34" spans="1:29" x14ac:dyDescent="0.2">
      <c r="A34" s="32"/>
      <c r="B34" s="32"/>
      <c r="C34" s="32"/>
      <c r="Y34"/>
      <c r="Z34"/>
      <c r="AA34"/>
      <c r="AB34" s="32"/>
      <c r="AC34" s="32"/>
    </row>
    <row r="35" spans="1:29" x14ac:dyDescent="0.2">
      <c r="A35" s="32"/>
      <c r="B35" s="32"/>
      <c r="C35" s="32"/>
      <c r="Y35"/>
      <c r="Z35"/>
      <c r="AA35"/>
      <c r="AB35" s="32"/>
      <c r="AC35" s="32"/>
    </row>
    <row r="36" spans="1:29" x14ac:dyDescent="0.2">
      <c r="A36" s="32"/>
      <c r="B36" s="32"/>
      <c r="C36" s="32"/>
      <c r="Y36"/>
      <c r="Z36"/>
      <c r="AA36"/>
      <c r="AB36" s="32"/>
      <c r="AC36" s="32"/>
    </row>
    <row r="37" spans="1:29" x14ac:dyDescent="0.2">
      <c r="A37" s="32"/>
      <c r="B37" s="32"/>
      <c r="C37" s="32"/>
      <c r="Y37"/>
      <c r="Z37"/>
      <c r="AA37"/>
      <c r="AB37" s="32"/>
      <c r="AC37" s="32"/>
    </row>
    <row r="38" spans="1:29" x14ac:dyDescent="0.2">
      <c r="A38" s="32"/>
      <c r="B38" s="32"/>
      <c r="C38" s="32"/>
      <c r="Y38"/>
      <c r="Z38"/>
      <c r="AA38"/>
      <c r="AB38" s="32"/>
      <c r="AC38" s="32"/>
    </row>
    <row r="39" spans="1:29" x14ac:dyDescent="0.2">
      <c r="A39" s="32"/>
      <c r="B39" s="32"/>
      <c r="C39" s="32"/>
      <c r="Y39"/>
      <c r="Z39"/>
      <c r="AA39"/>
      <c r="AB39" s="32"/>
      <c r="AC39" s="32"/>
    </row>
    <row r="40" spans="1:29" x14ac:dyDescent="0.2">
      <c r="A40" s="32"/>
      <c r="B40" s="32"/>
      <c r="C40" s="32"/>
      <c r="Y40"/>
      <c r="Z40"/>
      <c r="AA40"/>
      <c r="AB40" s="32"/>
      <c r="AC40" s="32"/>
    </row>
    <row r="41" spans="1:29" x14ac:dyDescent="0.2">
      <c r="A41" s="32"/>
      <c r="B41" s="32"/>
      <c r="C41" s="32"/>
      <c r="Y41"/>
      <c r="Z41"/>
      <c r="AA41"/>
      <c r="AB41" s="32"/>
      <c r="AC41" s="32"/>
    </row>
    <row r="42" spans="1:29" x14ac:dyDescent="0.2">
      <c r="A42" s="32"/>
      <c r="B42" s="32"/>
      <c r="C42" s="32"/>
      <c r="Y42"/>
      <c r="Z42"/>
      <c r="AA42"/>
      <c r="AB42" s="32"/>
      <c r="AC42" s="32"/>
    </row>
    <row r="43" spans="1:29" x14ac:dyDescent="0.2">
      <c r="A43" s="32"/>
      <c r="B43" s="32"/>
      <c r="C43" s="32"/>
      <c r="Y43"/>
      <c r="Z43"/>
      <c r="AA43"/>
      <c r="AB43" s="32"/>
      <c r="AC43" s="32"/>
    </row>
    <row r="44" spans="1:29" x14ac:dyDescent="0.2">
      <c r="A44" s="32"/>
      <c r="B44" s="32"/>
      <c r="C44" s="32"/>
      <c r="Y44"/>
      <c r="Z44"/>
      <c r="AA44"/>
      <c r="AB44" s="32"/>
      <c r="AC44" s="32"/>
    </row>
    <row r="45" spans="1:29" x14ac:dyDescent="0.2">
      <c r="A45" s="32"/>
      <c r="B45" s="32"/>
      <c r="C45" s="32"/>
      <c r="Y45"/>
      <c r="Z45"/>
      <c r="AA45"/>
      <c r="AB45" s="32"/>
      <c r="AC45" s="32"/>
    </row>
    <row r="46" spans="1:29" x14ac:dyDescent="0.2">
      <c r="A46" s="32"/>
      <c r="B46" s="32"/>
      <c r="C46" s="32"/>
      <c r="Y46"/>
      <c r="Z46"/>
      <c r="AA46"/>
      <c r="AB46" s="32"/>
      <c r="AC46" s="32"/>
    </row>
    <row r="47" spans="1:29" x14ac:dyDescent="0.2">
      <c r="A47" s="32"/>
      <c r="B47" s="32"/>
      <c r="C47" s="32"/>
      <c r="Y47"/>
      <c r="Z47"/>
      <c r="AA47"/>
      <c r="AB47" s="32"/>
      <c r="AC47" s="32"/>
    </row>
    <row r="48" spans="1:29" x14ac:dyDescent="0.2">
      <c r="A48" s="32"/>
      <c r="B48" s="32"/>
      <c r="C48" s="32"/>
      <c r="Y48"/>
      <c r="Z48"/>
      <c r="AA48"/>
      <c r="AB48" s="32"/>
      <c r="AC48" s="32"/>
    </row>
    <row r="49" spans="1:29" x14ac:dyDescent="0.2">
      <c r="A49" s="32"/>
      <c r="B49" s="32"/>
      <c r="C49" s="32"/>
      <c r="Y49"/>
      <c r="Z49"/>
      <c r="AA49"/>
      <c r="AB49" s="32"/>
      <c r="AC49" s="32"/>
    </row>
    <row r="50" spans="1:29" x14ac:dyDescent="0.2">
      <c r="A50" s="32"/>
      <c r="B50" s="32"/>
      <c r="C50" s="32"/>
      <c r="Y50"/>
      <c r="Z50"/>
      <c r="AA50"/>
      <c r="AB50" s="32"/>
      <c r="AC50" s="32"/>
    </row>
    <row r="51" spans="1:29" x14ac:dyDescent="0.2">
      <c r="A51" s="32"/>
      <c r="B51" s="32"/>
      <c r="C51" s="32"/>
      <c r="Y51"/>
      <c r="Z51"/>
      <c r="AA51"/>
      <c r="AB51" s="32"/>
      <c r="AC51" s="32"/>
    </row>
    <row r="52" spans="1:29" x14ac:dyDescent="0.2">
      <c r="A52" s="32"/>
      <c r="B52" s="32"/>
      <c r="C52" s="32"/>
      <c r="Y52"/>
      <c r="Z52"/>
      <c r="AA52"/>
      <c r="AB52" s="32"/>
      <c r="AC52" s="32"/>
    </row>
    <row r="53" spans="1:29" x14ac:dyDescent="0.2">
      <c r="A53" s="32"/>
      <c r="B53" s="32"/>
      <c r="C53" s="32"/>
      <c r="Y53"/>
      <c r="Z53"/>
      <c r="AA53"/>
      <c r="AB53" s="32"/>
      <c r="AC53" s="32"/>
    </row>
    <row r="54" spans="1:29" x14ac:dyDescent="0.2">
      <c r="A54" s="32"/>
      <c r="B54" s="32"/>
      <c r="C54" s="32"/>
      <c r="Y54"/>
      <c r="Z54"/>
      <c r="AA54"/>
      <c r="AB54" s="32"/>
      <c r="AC54" s="32"/>
    </row>
    <row r="55" spans="1:29" x14ac:dyDescent="0.2">
      <c r="A55" s="32"/>
      <c r="B55" s="32"/>
      <c r="C55" s="32"/>
      <c r="Y55"/>
      <c r="Z55"/>
      <c r="AA55"/>
      <c r="AB55" s="32"/>
      <c r="AC55" s="32"/>
    </row>
    <row r="56" spans="1:29" x14ac:dyDescent="0.2">
      <c r="A56" s="32"/>
      <c r="B56" s="32"/>
      <c r="C56" s="32"/>
      <c r="Y56"/>
      <c r="Z56"/>
      <c r="AA56"/>
      <c r="AB56" s="32"/>
      <c r="AC56" s="32"/>
    </row>
    <row r="57" spans="1:29" x14ac:dyDescent="0.2">
      <c r="A57" s="32"/>
      <c r="B57" s="32"/>
      <c r="C57" s="32"/>
      <c r="Y57"/>
      <c r="Z57"/>
      <c r="AA57"/>
      <c r="AB57" s="32"/>
      <c r="AC57" s="32"/>
    </row>
    <row r="58" spans="1:29" x14ac:dyDescent="0.2">
      <c r="A58" s="32"/>
      <c r="B58" s="32"/>
      <c r="C58" s="32"/>
      <c r="Y58"/>
      <c r="Z58"/>
      <c r="AA58"/>
      <c r="AB58" s="32"/>
      <c r="AC58" s="32"/>
    </row>
    <row r="59" spans="1:29" x14ac:dyDescent="0.2">
      <c r="A59" s="32"/>
      <c r="B59" s="32"/>
      <c r="C59" s="32"/>
      <c r="Y59"/>
      <c r="Z59"/>
      <c r="AA59"/>
      <c r="AB59" s="32"/>
      <c r="AC59" s="32"/>
    </row>
    <row r="60" spans="1:29" x14ac:dyDescent="0.2">
      <c r="A60" s="32"/>
      <c r="B60" s="32"/>
      <c r="C60" s="32"/>
      <c r="Y60"/>
      <c r="Z60"/>
      <c r="AA60"/>
      <c r="AB60" s="32"/>
      <c r="AC60" s="32"/>
    </row>
    <row r="61" spans="1:29" x14ac:dyDescent="0.2">
      <c r="A61" s="32"/>
      <c r="B61" s="32"/>
      <c r="C61" s="32"/>
      <c r="Y61"/>
      <c r="Z61"/>
      <c r="AA61"/>
      <c r="AB61" s="32"/>
      <c r="AC61" s="32"/>
    </row>
    <row r="62" spans="1:29" x14ac:dyDescent="0.2">
      <c r="A62" s="32"/>
      <c r="B62" s="32"/>
      <c r="C62" s="32"/>
      <c r="Y62"/>
      <c r="Z62"/>
      <c r="AA62"/>
      <c r="AB62" s="32"/>
      <c r="AC62" s="32"/>
    </row>
    <row r="63" spans="1:29" x14ac:dyDescent="0.2">
      <c r="A63" s="32"/>
      <c r="B63" s="32"/>
      <c r="C63" s="32"/>
      <c r="Y63"/>
      <c r="Z63"/>
      <c r="AA63"/>
      <c r="AB63" s="32"/>
      <c r="AC63" s="32"/>
    </row>
    <row r="64" spans="1:29" x14ac:dyDescent="0.2">
      <c r="A64" s="32"/>
      <c r="B64" s="32"/>
      <c r="C64" s="32"/>
      <c r="Y64"/>
      <c r="Z64"/>
      <c r="AA64"/>
      <c r="AB64" s="32"/>
      <c r="AC64" s="32"/>
    </row>
    <row r="65" spans="1:29" x14ac:dyDescent="0.2">
      <c r="A65" s="32"/>
      <c r="B65" s="32"/>
      <c r="C65" s="32"/>
      <c r="Y65"/>
      <c r="Z65"/>
      <c r="AA65"/>
      <c r="AB65" s="32"/>
      <c r="AC65" s="32"/>
    </row>
    <row r="66" spans="1:29" x14ac:dyDescent="0.2">
      <c r="A66" s="32"/>
      <c r="B66" s="32"/>
      <c r="C66" s="32"/>
      <c r="Y66"/>
      <c r="Z66"/>
      <c r="AA66"/>
      <c r="AB66" s="32"/>
      <c r="AC66" s="32"/>
    </row>
    <row r="67" spans="1:29" x14ac:dyDescent="0.2">
      <c r="A67" s="32"/>
      <c r="B67" s="32"/>
      <c r="C67" s="32"/>
      <c r="Y67"/>
      <c r="Z67"/>
      <c r="AA67"/>
      <c r="AB67" s="32"/>
      <c r="AC67" s="32"/>
    </row>
    <row r="68" spans="1:29" x14ac:dyDescent="0.2">
      <c r="A68" s="32"/>
      <c r="B68" s="32"/>
      <c r="C68" s="32"/>
      <c r="Y68"/>
      <c r="Z68"/>
      <c r="AA68"/>
      <c r="AB68" s="32"/>
      <c r="AC68" s="32"/>
    </row>
    <row r="69" spans="1:29" x14ac:dyDescent="0.2">
      <c r="A69" s="32"/>
      <c r="B69" s="32"/>
      <c r="C69" s="32"/>
      <c r="Y69"/>
      <c r="Z69"/>
      <c r="AA69"/>
      <c r="AB69" s="32"/>
      <c r="AC69" s="32"/>
    </row>
    <row r="70" spans="1:29" x14ac:dyDescent="0.2">
      <c r="A70" s="32"/>
      <c r="B70" s="32"/>
      <c r="C70" s="32"/>
      <c r="Y70"/>
      <c r="Z70"/>
      <c r="AA70"/>
      <c r="AB70" s="32"/>
      <c r="AC70" s="32"/>
    </row>
    <row r="71" spans="1:29" x14ac:dyDescent="0.2">
      <c r="A71" s="32"/>
      <c r="B71" s="32"/>
      <c r="C71" s="32"/>
      <c r="Y71"/>
      <c r="Z71"/>
      <c r="AA71"/>
      <c r="AB71" s="32"/>
      <c r="AC71" s="32"/>
    </row>
    <row r="72" spans="1:29" x14ac:dyDescent="0.2">
      <c r="A72" s="32"/>
      <c r="B72" s="32"/>
      <c r="C72" s="32"/>
      <c r="Y72"/>
      <c r="Z72"/>
      <c r="AA72"/>
      <c r="AB72" s="32"/>
      <c r="AC72" s="32"/>
    </row>
    <row r="73" spans="1:29" x14ac:dyDescent="0.2">
      <c r="A73" s="32"/>
      <c r="B73" s="32"/>
      <c r="C73" s="32"/>
      <c r="Y73"/>
      <c r="Z73"/>
      <c r="AA73"/>
      <c r="AB73" s="32"/>
      <c r="AC73" s="32"/>
    </row>
    <row r="74" spans="1:29" x14ac:dyDescent="0.2">
      <c r="A74" s="32"/>
      <c r="B74" s="32"/>
      <c r="C74" s="32"/>
      <c r="Y74"/>
      <c r="Z74"/>
      <c r="AA74"/>
      <c r="AB74" s="32"/>
      <c r="AC74" s="32"/>
    </row>
    <row r="75" spans="1:29" x14ac:dyDescent="0.2">
      <c r="A75" s="32"/>
      <c r="B75" s="32"/>
      <c r="C75" s="32"/>
      <c r="Y75"/>
      <c r="Z75"/>
      <c r="AA75"/>
      <c r="AB75" s="32"/>
      <c r="AC75" s="32"/>
    </row>
    <row r="76" spans="1:29" x14ac:dyDescent="0.2">
      <c r="A76" s="32"/>
      <c r="B76" s="32"/>
      <c r="C76" s="32"/>
      <c r="Y76"/>
      <c r="Z76"/>
      <c r="AA76"/>
      <c r="AB76" s="32"/>
      <c r="AC76" s="32"/>
    </row>
    <row r="77" spans="1:29" x14ac:dyDescent="0.2">
      <c r="A77" s="32"/>
      <c r="B77" s="32"/>
      <c r="C77" s="32"/>
      <c r="Y77"/>
      <c r="Z77"/>
      <c r="AA77"/>
      <c r="AB77" s="32"/>
      <c r="AC77" s="32"/>
    </row>
    <row r="78" spans="1:29" x14ac:dyDescent="0.2">
      <c r="A78" s="32"/>
      <c r="B78" s="32"/>
      <c r="C78" s="32"/>
      <c r="Y78"/>
      <c r="Z78"/>
      <c r="AA78"/>
      <c r="AB78" s="32"/>
      <c r="AC78" s="32"/>
    </row>
    <row r="79" spans="1:29" x14ac:dyDescent="0.2">
      <c r="A79" s="32"/>
      <c r="B79" s="32"/>
      <c r="C79" s="32"/>
      <c r="Y79"/>
      <c r="Z79"/>
      <c r="AA79"/>
      <c r="AB79" s="32"/>
      <c r="AC79" s="32"/>
    </row>
    <row r="80" spans="1:29" x14ac:dyDescent="0.2">
      <c r="A80" s="32"/>
      <c r="B80" s="32"/>
      <c r="C80" s="32"/>
      <c r="Y80"/>
      <c r="Z80"/>
      <c r="AA80"/>
      <c r="AB80" s="32"/>
      <c r="AC80" s="32"/>
    </row>
    <row r="81" spans="1:29" x14ac:dyDescent="0.2">
      <c r="A81" s="32"/>
      <c r="B81" s="32"/>
      <c r="C81" s="32"/>
      <c r="Y81"/>
      <c r="Z81"/>
      <c r="AA81"/>
      <c r="AB81" s="32"/>
      <c r="AC81" s="32"/>
    </row>
    <row r="82" spans="1:29" x14ac:dyDescent="0.2">
      <c r="A82" s="32"/>
      <c r="B82" s="32"/>
      <c r="C82" s="32"/>
      <c r="Y82"/>
      <c r="Z82"/>
      <c r="AA82"/>
      <c r="AB82" s="32"/>
      <c r="AC82" s="32"/>
    </row>
    <row r="83" spans="1:29" x14ac:dyDescent="0.2">
      <c r="A83" s="32"/>
      <c r="B83" s="32"/>
      <c r="C83" s="32"/>
      <c r="Y83"/>
      <c r="Z83"/>
      <c r="AA83"/>
      <c r="AB83" s="32"/>
      <c r="AC83" s="32"/>
    </row>
    <row r="84" spans="1:29" x14ac:dyDescent="0.2">
      <c r="A84" s="32"/>
      <c r="B84" s="32"/>
      <c r="C84" s="32"/>
      <c r="Y84"/>
      <c r="Z84"/>
      <c r="AA84"/>
      <c r="AB84" s="32"/>
      <c r="AC84" s="32"/>
    </row>
    <row r="85" spans="1:29" x14ac:dyDescent="0.2">
      <c r="A85" s="32"/>
      <c r="B85" s="32"/>
      <c r="C85" s="32"/>
      <c r="Y85"/>
      <c r="Z85"/>
      <c r="AA85"/>
      <c r="AB85" s="32"/>
      <c r="AC85" s="32"/>
    </row>
    <row r="86" spans="1:29" x14ac:dyDescent="0.2">
      <c r="A86" s="32"/>
      <c r="B86" s="32"/>
      <c r="C86" s="32"/>
      <c r="Y86"/>
      <c r="Z86"/>
      <c r="AA86"/>
      <c r="AB86" s="32"/>
      <c r="AC86" s="32"/>
    </row>
    <row r="87" spans="1:29" x14ac:dyDescent="0.2">
      <c r="A87" s="32"/>
      <c r="B87" s="32"/>
      <c r="C87" s="32"/>
      <c r="Y87"/>
      <c r="Z87"/>
      <c r="AA87"/>
      <c r="AB87" s="32"/>
      <c r="AC87" s="32"/>
    </row>
    <row r="88" spans="1:29" x14ac:dyDescent="0.2">
      <c r="A88" s="32"/>
      <c r="B88" s="32"/>
      <c r="C88" s="32"/>
      <c r="Y88"/>
      <c r="Z88"/>
      <c r="AA88"/>
      <c r="AB88" s="32"/>
      <c r="AC88" s="32"/>
    </row>
    <row r="89" spans="1:29" x14ac:dyDescent="0.2">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row>
    <row r="90" spans="1:29" x14ac:dyDescent="0.2">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row>
    <row r="91" spans="1:29" x14ac:dyDescent="0.2">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2"/>
    </row>
    <row r="92" spans="1:29" x14ac:dyDescent="0.2">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c r="AA92" s="32"/>
      <c r="AB92" s="32"/>
      <c r="AC92" s="32"/>
    </row>
    <row r="93" spans="1:29" x14ac:dyDescent="0.2">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row>
    <row r="94" spans="1:29" x14ac:dyDescent="0.2">
      <c r="A94" s="32"/>
      <c r="B94" s="32"/>
      <c r="C94" s="32"/>
      <c r="D94" s="33"/>
      <c r="E94" s="33"/>
      <c r="F94" s="33"/>
      <c r="G94" s="33"/>
      <c r="H94" s="33"/>
      <c r="I94" s="33"/>
      <c r="J94" s="33"/>
      <c r="K94" s="33"/>
      <c r="L94" s="33"/>
      <c r="M94" s="33"/>
      <c r="N94" s="33"/>
      <c r="O94" s="33"/>
      <c r="P94" s="33"/>
      <c r="Q94" s="33"/>
      <c r="R94" s="33"/>
      <c r="S94" s="33"/>
      <c r="T94" s="33"/>
      <c r="U94" s="33"/>
      <c r="V94" s="33"/>
      <c r="W94" s="33"/>
      <c r="X94" s="33"/>
      <c r="Y94" s="32"/>
      <c r="Z94" s="32"/>
      <c r="AA94" s="32"/>
      <c r="AB94" s="32"/>
      <c r="AC94" s="32"/>
    </row>
    <row r="95" spans="1:29" x14ac:dyDescent="0.2">
      <c r="A95"/>
      <c r="B95"/>
      <c r="C95"/>
      <c r="D95"/>
      <c r="E95"/>
      <c r="F95"/>
      <c r="G95"/>
      <c r="H95"/>
      <c r="I95"/>
      <c r="J95"/>
      <c r="K95"/>
      <c r="L95"/>
      <c r="M95"/>
      <c r="N95"/>
      <c r="O95"/>
      <c r="P95"/>
      <c r="Q95"/>
      <c r="R95"/>
      <c r="S95"/>
      <c r="T95"/>
      <c r="U95"/>
      <c r="V95"/>
      <c r="W95"/>
      <c r="X95"/>
      <c r="Y95"/>
      <c r="Z95"/>
      <c r="AA95"/>
    </row>
    <row r="96" spans="1:29" x14ac:dyDescent="0.2">
      <c r="A96"/>
      <c r="B96"/>
      <c r="C96"/>
      <c r="D96"/>
      <c r="E96"/>
      <c r="F96"/>
      <c r="G96"/>
      <c r="H96"/>
      <c r="I96"/>
      <c r="J96"/>
      <c r="K96"/>
      <c r="L96"/>
      <c r="M96"/>
      <c r="N96"/>
      <c r="O96"/>
      <c r="P96"/>
      <c r="Q96"/>
      <c r="R96"/>
      <c r="S96"/>
      <c r="T96"/>
      <c r="U96"/>
      <c r="V96"/>
      <c r="W96"/>
      <c r="X96"/>
      <c r="Y96"/>
      <c r="Z96"/>
      <c r="AA96"/>
    </row>
    <row r="97" spans="1:27" x14ac:dyDescent="0.2">
      <c r="A97"/>
      <c r="B97"/>
      <c r="C97"/>
      <c r="D97"/>
      <c r="E97"/>
      <c r="F97"/>
      <c r="G97"/>
      <c r="H97"/>
      <c r="I97"/>
      <c r="J97"/>
      <c r="K97"/>
      <c r="L97"/>
      <c r="M97"/>
      <c r="N97"/>
      <c r="O97"/>
      <c r="P97"/>
      <c r="Q97"/>
      <c r="R97"/>
      <c r="S97"/>
      <c r="T97"/>
      <c r="U97"/>
      <c r="V97"/>
      <c r="W97"/>
      <c r="X97"/>
      <c r="Y97"/>
      <c r="Z97"/>
      <c r="AA97"/>
    </row>
    <row r="98" spans="1:27" x14ac:dyDescent="0.2">
      <c r="A98"/>
      <c r="B98"/>
      <c r="C98"/>
      <c r="D98"/>
      <c r="E98"/>
      <c r="F98"/>
      <c r="G98"/>
      <c r="H98"/>
      <c r="I98"/>
      <c r="J98"/>
      <c r="K98"/>
      <c r="L98"/>
      <c r="M98"/>
      <c r="N98"/>
      <c r="O98"/>
      <c r="P98"/>
      <c r="Q98"/>
      <c r="R98"/>
      <c r="S98"/>
      <c r="T98"/>
      <c r="U98"/>
      <c r="V98"/>
      <c r="W98"/>
      <c r="X98"/>
      <c r="Y98"/>
      <c r="Z98"/>
      <c r="AA98"/>
    </row>
    <row r="99" spans="1:27" x14ac:dyDescent="0.2">
      <c r="A99"/>
      <c r="B99"/>
      <c r="C99"/>
      <c r="D99"/>
      <c r="E99"/>
      <c r="F99"/>
      <c r="G99"/>
      <c r="H99"/>
      <c r="I99"/>
      <c r="J99"/>
      <c r="K99"/>
      <c r="L99"/>
      <c r="M99"/>
      <c r="N99"/>
      <c r="O99"/>
      <c r="P99"/>
      <c r="Q99"/>
      <c r="R99"/>
      <c r="S99"/>
      <c r="T99"/>
      <c r="U99"/>
      <c r="V99"/>
      <c r="W99"/>
      <c r="X99"/>
      <c r="Y99"/>
      <c r="Z99"/>
      <c r="AA99"/>
    </row>
    <row r="100" spans="1:27" x14ac:dyDescent="0.2">
      <c r="A100"/>
      <c r="B100"/>
      <c r="C100"/>
      <c r="D100"/>
      <c r="E100"/>
      <c r="F100"/>
      <c r="G100"/>
      <c r="H100"/>
      <c r="I100"/>
      <c r="J100"/>
      <c r="K100"/>
      <c r="L100"/>
      <c r="M100"/>
      <c r="N100"/>
      <c r="O100"/>
      <c r="P100"/>
      <c r="Q100"/>
      <c r="R100"/>
      <c r="S100"/>
      <c r="T100"/>
      <c r="U100"/>
      <c r="V100"/>
      <c r="W100"/>
      <c r="X100"/>
      <c r="Y100"/>
      <c r="Z100"/>
      <c r="AA100"/>
    </row>
    <row r="101" spans="1:27" x14ac:dyDescent="0.2">
      <c r="A101"/>
      <c r="B101"/>
      <c r="C101"/>
      <c r="D101"/>
      <c r="E101"/>
      <c r="F101"/>
      <c r="G101"/>
      <c r="H101"/>
      <c r="I101"/>
      <c r="J101"/>
      <c r="K101"/>
      <c r="L101"/>
      <c r="M101"/>
      <c r="N101"/>
      <c r="O101"/>
      <c r="P101"/>
      <c r="Q101"/>
      <c r="R101"/>
      <c r="S101"/>
      <c r="T101"/>
      <c r="U101"/>
      <c r="V101"/>
      <c r="W101"/>
      <c r="X101"/>
      <c r="Y101"/>
      <c r="Z101"/>
      <c r="AA101"/>
    </row>
    <row r="102" spans="1:27" x14ac:dyDescent="0.2">
      <c r="A102"/>
      <c r="B102"/>
      <c r="C102"/>
      <c r="D102"/>
      <c r="E102"/>
      <c r="F102"/>
      <c r="G102"/>
      <c r="H102"/>
      <c r="I102"/>
      <c r="J102"/>
      <c r="K102"/>
      <c r="L102"/>
      <c r="M102"/>
      <c r="N102"/>
      <c r="O102"/>
      <c r="P102"/>
      <c r="Q102"/>
      <c r="R102"/>
      <c r="S102"/>
      <c r="T102"/>
      <c r="U102"/>
      <c r="V102"/>
      <c r="W102"/>
      <c r="X102"/>
      <c r="Y102"/>
      <c r="Z102"/>
      <c r="AA102"/>
    </row>
    <row r="103" spans="1:27" x14ac:dyDescent="0.2">
      <c r="A103"/>
      <c r="B103"/>
      <c r="C103"/>
      <c r="D103"/>
      <c r="E103"/>
      <c r="F103"/>
      <c r="G103"/>
      <c r="H103"/>
      <c r="I103"/>
      <c r="J103"/>
      <c r="K103"/>
      <c r="L103"/>
      <c r="M103"/>
      <c r="N103"/>
      <c r="O103"/>
      <c r="P103"/>
      <c r="Q103"/>
      <c r="R103"/>
      <c r="S103"/>
      <c r="T103"/>
      <c r="U103"/>
      <c r="V103"/>
      <c r="W103"/>
      <c r="X103"/>
      <c r="Y103"/>
      <c r="Z103"/>
      <c r="AA103"/>
    </row>
    <row r="104" spans="1:27" x14ac:dyDescent="0.2">
      <c r="A104"/>
      <c r="B104"/>
      <c r="C104"/>
      <c r="D104"/>
      <c r="E104"/>
      <c r="F104"/>
      <c r="G104"/>
      <c r="H104"/>
      <c r="I104"/>
      <c r="J104"/>
      <c r="K104"/>
      <c r="L104"/>
      <c r="M104"/>
      <c r="N104"/>
      <c r="O104"/>
      <c r="P104"/>
      <c r="Q104"/>
      <c r="R104"/>
      <c r="S104"/>
      <c r="T104"/>
      <c r="U104"/>
      <c r="V104"/>
      <c r="W104"/>
      <c r="X104"/>
      <c r="Y104"/>
      <c r="Z104"/>
      <c r="AA104"/>
    </row>
    <row r="105" spans="1:27" x14ac:dyDescent="0.2">
      <c r="A105"/>
      <c r="B105"/>
      <c r="C105"/>
      <c r="D105"/>
      <c r="E105"/>
      <c r="F105"/>
      <c r="G105"/>
      <c r="H105"/>
      <c r="I105"/>
      <c r="J105"/>
      <c r="K105"/>
      <c r="L105"/>
      <c r="M105"/>
      <c r="N105"/>
      <c r="O105"/>
      <c r="P105"/>
      <c r="Q105"/>
      <c r="R105"/>
      <c r="S105"/>
      <c r="T105"/>
      <c r="U105"/>
      <c r="V105"/>
      <c r="W105"/>
      <c r="X105"/>
      <c r="Y105"/>
      <c r="Z105"/>
      <c r="AA105"/>
    </row>
    <row r="106" spans="1:27" x14ac:dyDescent="0.2">
      <c r="A106"/>
      <c r="B106"/>
      <c r="C106"/>
      <c r="D106"/>
      <c r="E106"/>
      <c r="F106"/>
      <c r="G106"/>
      <c r="H106"/>
      <c r="I106"/>
      <c r="J106"/>
      <c r="K106"/>
      <c r="L106"/>
      <c r="M106"/>
      <c r="N106"/>
      <c r="O106"/>
      <c r="P106"/>
      <c r="Q106"/>
      <c r="R106"/>
      <c r="S106"/>
      <c r="T106"/>
      <c r="U106"/>
      <c r="V106"/>
      <c r="W106"/>
      <c r="X106"/>
      <c r="Y106"/>
      <c r="Z106"/>
      <c r="AA106"/>
    </row>
    <row r="107" spans="1:27" x14ac:dyDescent="0.2">
      <c r="A107"/>
      <c r="B107"/>
      <c r="C107"/>
      <c r="D107"/>
      <c r="E107"/>
      <c r="F107"/>
      <c r="G107"/>
      <c r="H107"/>
      <c r="I107"/>
      <c r="J107"/>
      <c r="K107"/>
      <c r="L107"/>
      <c r="M107"/>
      <c r="N107"/>
      <c r="O107"/>
      <c r="P107"/>
      <c r="Q107"/>
      <c r="R107"/>
      <c r="S107"/>
      <c r="T107"/>
      <c r="U107"/>
      <c r="V107"/>
      <c r="W107"/>
      <c r="X107"/>
      <c r="Y107"/>
      <c r="Z107"/>
      <c r="AA107"/>
    </row>
    <row r="108" spans="1:27" x14ac:dyDescent="0.2">
      <c r="A108"/>
      <c r="B108"/>
      <c r="C108"/>
      <c r="D108"/>
      <c r="E108"/>
      <c r="F108"/>
      <c r="G108"/>
      <c r="H108"/>
      <c r="I108"/>
      <c r="J108"/>
      <c r="K108"/>
      <c r="L108"/>
      <c r="M108"/>
      <c r="N108"/>
      <c r="O108"/>
      <c r="P108"/>
      <c r="Q108"/>
      <c r="R108"/>
      <c r="S108"/>
      <c r="T108"/>
      <c r="U108"/>
      <c r="V108"/>
      <c r="W108"/>
      <c r="X108"/>
      <c r="Y108"/>
      <c r="Z108"/>
      <c r="AA108"/>
    </row>
    <row r="109" spans="1:27" x14ac:dyDescent="0.2">
      <c r="A109"/>
      <c r="B109"/>
      <c r="C109"/>
      <c r="D109"/>
      <c r="E109"/>
      <c r="F109"/>
      <c r="G109"/>
      <c r="H109"/>
      <c r="I109"/>
      <c r="J109"/>
      <c r="K109"/>
      <c r="L109"/>
      <c r="M109"/>
      <c r="N109"/>
      <c r="O109"/>
      <c r="P109"/>
      <c r="Q109"/>
      <c r="R109"/>
      <c r="S109"/>
      <c r="T109"/>
      <c r="U109"/>
      <c r="V109"/>
      <c r="W109"/>
      <c r="X109"/>
      <c r="Y109"/>
      <c r="Z109"/>
      <c r="AA109"/>
    </row>
    <row r="110" spans="1:27" x14ac:dyDescent="0.2">
      <c r="A110"/>
      <c r="B110"/>
      <c r="C110"/>
      <c r="D110"/>
      <c r="E110"/>
      <c r="F110"/>
      <c r="G110"/>
      <c r="H110"/>
      <c r="I110"/>
      <c r="J110"/>
      <c r="K110"/>
      <c r="L110"/>
      <c r="M110"/>
      <c r="N110"/>
      <c r="O110"/>
      <c r="P110"/>
      <c r="Q110"/>
      <c r="R110"/>
      <c r="S110"/>
      <c r="T110"/>
      <c r="U110"/>
      <c r="V110"/>
      <c r="W110"/>
      <c r="X110"/>
      <c r="Y110"/>
      <c r="Z110"/>
      <c r="AA110"/>
    </row>
    <row r="111" spans="1:27" x14ac:dyDescent="0.2">
      <c r="A111"/>
      <c r="B111"/>
      <c r="C111"/>
      <c r="D111"/>
      <c r="E111"/>
      <c r="F111"/>
      <c r="G111"/>
      <c r="H111"/>
      <c r="I111"/>
      <c r="J111"/>
      <c r="K111"/>
      <c r="L111"/>
      <c r="M111"/>
      <c r="N111"/>
      <c r="O111"/>
      <c r="P111"/>
      <c r="Q111"/>
      <c r="R111"/>
      <c r="S111"/>
      <c r="T111"/>
      <c r="U111"/>
      <c r="V111"/>
      <c r="W111"/>
      <c r="X111"/>
      <c r="Y111"/>
      <c r="Z111"/>
      <c r="AA111"/>
    </row>
    <row r="112" spans="1:27" x14ac:dyDescent="0.2">
      <c r="A112"/>
      <c r="B112"/>
      <c r="C112"/>
      <c r="D112"/>
      <c r="E112"/>
      <c r="F112"/>
      <c r="G112"/>
      <c r="H112"/>
      <c r="I112"/>
      <c r="J112"/>
      <c r="K112"/>
      <c r="L112"/>
      <c r="M112"/>
      <c r="N112"/>
      <c r="O112"/>
      <c r="P112"/>
      <c r="Q112"/>
      <c r="R112"/>
      <c r="S112"/>
      <c r="T112"/>
      <c r="U112"/>
      <c r="V112"/>
      <c r="W112"/>
      <c r="X112"/>
      <c r="Y112"/>
      <c r="Z112"/>
      <c r="AA112"/>
    </row>
    <row r="113" spans="1:27" x14ac:dyDescent="0.2">
      <c r="A113"/>
      <c r="B113"/>
      <c r="C113"/>
      <c r="D113"/>
      <c r="E113"/>
      <c r="F113"/>
      <c r="G113"/>
      <c r="H113"/>
      <c r="I113"/>
      <c r="J113"/>
      <c r="K113"/>
      <c r="L113"/>
      <c r="M113"/>
      <c r="N113"/>
      <c r="O113"/>
      <c r="P113"/>
      <c r="Q113"/>
      <c r="R113"/>
      <c r="S113"/>
      <c r="T113"/>
      <c r="U113"/>
      <c r="V113"/>
      <c r="W113"/>
      <c r="X113"/>
      <c r="Y113"/>
      <c r="Z113"/>
      <c r="AA113"/>
    </row>
    <row r="114" spans="1:27" x14ac:dyDescent="0.2">
      <c r="A114"/>
      <c r="B114"/>
      <c r="C114"/>
      <c r="D114"/>
      <c r="E114"/>
      <c r="F114"/>
      <c r="G114"/>
      <c r="H114"/>
      <c r="I114"/>
      <c r="J114"/>
      <c r="K114"/>
      <c r="L114"/>
      <c r="M114"/>
      <c r="N114"/>
      <c r="O114"/>
      <c r="P114"/>
      <c r="Q114"/>
      <c r="R114"/>
      <c r="S114"/>
      <c r="T114"/>
      <c r="U114"/>
      <c r="V114"/>
      <c r="W114"/>
      <c r="X114"/>
      <c r="Y114"/>
      <c r="Z114"/>
      <c r="AA114"/>
    </row>
    <row r="115" spans="1:27" x14ac:dyDescent="0.2">
      <c r="A115"/>
      <c r="B115"/>
      <c r="C115"/>
      <c r="D115"/>
      <c r="E115"/>
      <c r="F115"/>
      <c r="G115"/>
      <c r="H115"/>
      <c r="I115"/>
      <c r="J115"/>
      <c r="K115"/>
      <c r="L115"/>
      <c r="M115"/>
      <c r="N115"/>
      <c r="O115"/>
      <c r="P115"/>
      <c r="Q115"/>
      <c r="R115"/>
      <c r="S115"/>
      <c r="T115"/>
      <c r="U115"/>
      <c r="V115"/>
      <c r="W115"/>
      <c r="X115"/>
      <c r="Y115"/>
      <c r="Z115"/>
      <c r="AA115"/>
    </row>
    <row r="116" spans="1:27" x14ac:dyDescent="0.2">
      <c r="A116"/>
      <c r="B116"/>
      <c r="C116"/>
      <c r="D116"/>
      <c r="E116"/>
      <c r="F116"/>
      <c r="G116"/>
      <c r="H116"/>
      <c r="I116"/>
      <c r="J116"/>
      <c r="K116"/>
      <c r="L116"/>
      <c r="M116"/>
      <c r="N116"/>
      <c r="O116"/>
      <c r="P116"/>
      <c r="Q116"/>
      <c r="R116"/>
      <c r="S116"/>
      <c r="T116"/>
      <c r="U116"/>
      <c r="V116"/>
      <c r="W116"/>
      <c r="X116"/>
      <c r="Y116"/>
      <c r="Z116"/>
      <c r="AA116"/>
    </row>
    <row r="117" spans="1:27" x14ac:dyDescent="0.2">
      <c r="A117"/>
      <c r="B117"/>
      <c r="C117"/>
      <c r="D117"/>
      <c r="E117"/>
      <c r="F117"/>
      <c r="G117"/>
      <c r="H117"/>
      <c r="I117"/>
      <c r="J117"/>
      <c r="K117"/>
      <c r="L117"/>
      <c r="M117"/>
      <c r="N117"/>
      <c r="O117"/>
      <c r="P117"/>
      <c r="Q117"/>
      <c r="R117"/>
      <c r="S117"/>
      <c r="T117"/>
      <c r="U117"/>
      <c r="V117"/>
      <c r="W117"/>
      <c r="X117"/>
      <c r="Y117"/>
      <c r="Z117"/>
      <c r="AA117"/>
    </row>
    <row r="118" spans="1:27" x14ac:dyDescent="0.2">
      <c r="A118"/>
      <c r="B118"/>
      <c r="C118"/>
      <c r="D118"/>
      <c r="E118"/>
      <c r="F118"/>
      <c r="G118"/>
      <c r="H118"/>
      <c r="I118"/>
      <c r="J118"/>
      <c r="K118"/>
      <c r="L118"/>
      <c r="M118"/>
      <c r="N118"/>
      <c r="O118"/>
      <c r="P118"/>
      <c r="Q118"/>
      <c r="R118"/>
      <c r="S118"/>
      <c r="T118"/>
      <c r="U118"/>
      <c r="V118"/>
      <c r="W118"/>
      <c r="X118"/>
      <c r="Y118"/>
      <c r="Z118"/>
      <c r="AA118"/>
    </row>
    <row r="119" spans="1:27" x14ac:dyDescent="0.2">
      <c r="A119"/>
      <c r="B119"/>
      <c r="C119"/>
      <c r="D119"/>
      <c r="E119"/>
      <c r="F119"/>
      <c r="G119"/>
      <c r="H119"/>
      <c r="I119"/>
      <c r="J119"/>
      <c r="K119"/>
      <c r="L119"/>
      <c r="M119"/>
      <c r="N119"/>
      <c r="O119"/>
      <c r="P119"/>
      <c r="Q119"/>
      <c r="R119"/>
      <c r="S119"/>
      <c r="T119"/>
      <c r="U119"/>
      <c r="V119"/>
      <c r="W119"/>
      <c r="X119"/>
      <c r="Y119"/>
      <c r="Z119"/>
      <c r="AA119"/>
    </row>
    <row r="120" spans="1:27" x14ac:dyDescent="0.2">
      <c r="A120"/>
      <c r="B120"/>
      <c r="C120"/>
      <c r="D120"/>
      <c r="E120"/>
      <c r="F120"/>
      <c r="G120"/>
      <c r="H120"/>
      <c r="I120"/>
      <c r="J120"/>
      <c r="K120"/>
      <c r="L120"/>
      <c r="M120"/>
      <c r="N120"/>
      <c r="O120"/>
      <c r="P120"/>
      <c r="Q120"/>
      <c r="R120"/>
      <c r="S120"/>
      <c r="T120"/>
      <c r="U120"/>
      <c r="V120"/>
      <c r="W120"/>
      <c r="X120"/>
      <c r="Y120"/>
      <c r="Z120"/>
      <c r="AA120"/>
    </row>
    <row r="121" spans="1:27" x14ac:dyDescent="0.2">
      <c r="A121"/>
      <c r="B121"/>
      <c r="C121"/>
      <c r="D121"/>
      <c r="E121"/>
      <c r="F121"/>
      <c r="G121"/>
      <c r="H121"/>
      <c r="I121"/>
      <c r="J121"/>
      <c r="K121"/>
      <c r="L121"/>
      <c r="M121"/>
      <c r="N121"/>
      <c r="O121"/>
      <c r="P121"/>
      <c r="Q121"/>
      <c r="R121"/>
      <c r="S121"/>
      <c r="T121"/>
      <c r="U121"/>
      <c r="V121"/>
      <c r="W121"/>
      <c r="X121"/>
      <c r="Y121"/>
      <c r="Z121"/>
      <c r="AA121"/>
    </row>
    <row r="122" spans="1:27" x14ac:dyDescent="0.2">
      <c r="A122"/>
      <c r="B122"/>
      <c r="C122"/>
      <c r="D122"/>
      <c r="E122"/>
      <c r="F122"/>
      <c r="G122"/>
      <c r="H122"/>
      <c r="I122"/>
      <c r="J122"/>
      <c r="K122"/>
      <c r="L122"/>
      <c r="M122"/>
      <c r="N122"/>
      <c r="O122"/>
      <c r="P122"/>
      <c r="Q122"/>
      <c r="R122"/>
      <c r="S122"/>
      <c r="T122"/>
      <c r="U122"/>
      <c r="V122"/>
      <c r="W122"/>
      <c r="X122"/>
      <c r="Y122"/>
      <c r="Z122"/>
      <c r="AA122"/>
    </row>
    <row r="123" spans="1:27" x14ac:dyDescent="0.2">
      <c r="A123"/>
      <c r="B123"/>
      <c r="C123"/>
      <c r="D123"/>
      <c r="E123"/>
      <c r="F123"/>
      <c r="G123"/>
      <c r="H123"/>
      <c r="I123"/>
      <c r="J123"/>
      <c r="K123"/>
      <c r="L123"/>
      <c r="M123"/>
      <c r="N123"/>
      <c r="O123"/>
      <c r="P123"/>
      <c r="Q123"/>
      <c r="R123"/>
      <c r="S123"/>
      <c r="T123"/>
      <c r="U123"/>
      <c r="V123"/>
      <c r="W123"/>
      <c r="X123"/>
      <c r="Y123"/>
      <c r="Z123"/>
      <c r="AA123"/>
    </row>
    <row r="124" spans="1:27" x14ac:dyDescent="0.2">
      <c r="A124"/>
      <c r="B124"/>
      <c r="C124"/>
      <c r="D124"/>
      <c r="E124"/>
      <c r="F124"/>
      <c r="G124"/>
      <c r="H124"/>
      <c r="I124"/>
      <c r="J124"/>
      <c r="K124"/>
      <c r="L124"/>
      <c r="M124"/>
      <c r="N124"/>
      <c r="O124"/>
      <c r="P124"/>
      <c r="Q124"/>
      <c r="R124"/>
      <c r="S124"/>
      <c r="T124"/>
      <c r="U124"/>
      <c r="V124"/>
      <c r="W124"/>
      <c r="X124"/>
      <c r="Y124"/>
      <c r="Z124"/>
      <c r="AA124"/>
    </row>
    <row r="125" spans="1:27" x14ac:dyDescent="0.2">
      <c r="A125"/>
      <c r="B125"/>
    </row>
  </sheetData>
  <mergeCells count="9">
    <mergeCell ref="G1:W6"/>
    <mergeCell ref="Q9:S10"/>
    <mergeCell ref="Q11:S12"/>
    <mergeCell ref="E9:G10"/>
    <mergeCell ref="E11:G12"/>
    <mergeCell ref="I9:K10"/>
    <mergeCell ref="I11:K12"/>
    <mergeCell ref="M9:O10"/>
    <mergeCell ref="M11:O1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C8A93-7DA6-E349-9FBA-3D7411B2EBF8}">
  <dimension ref="A1:F28"/>
  <sheetViews>
    <sheetView workbookViewId="0">
      <selection activeCell="B14" sqref="B14"/>
    </sheetView>
  </sheetViews>
  <sheetFormatPr baseColWidth="10" defaultRowHeight="15" x14ac:dyDescent="0.2"/>
  <cols>
    <col min="1" max="1" width="15.1640625" customWidth="1"/>
    <col min="2" max="2" width="15.83203125" customWidth="1"/>
    <col min="3" max="3" width="19.33203125" customWidth="1"/>
    <col min="4" max="4" width="16.33203125" customWidth="1"/>
    <col min="5" max="5" width="20.6640625" customWidth="1"/>
    <col min="6" max="6" width="11.33203125" customWidth="1"/>
  </cols>
  <sheetData>
    <row r="1" spans="1:6" x14ac:dyDescent="0.2">
      <c r="A1" s="63" t="s">
        <v>485</v>
      </c>
      <c r="B1" s="64"/>
      <c r="C1" s="64"/>
      <c r="D1" s="64"/>
      <c r="E1" s="64"/>
      <c r="F1" s="64"/>
    </row>
    <row r="2" spans="1:6" x14ac:dyDescent="0.2">
      <c r="A2" s="64"/>
      <c r="B2" s="64"/>
      <c r="C2" s="64"/>
      <c r="D2" s="64"/>
      <c r="E2" s="64"/>
      <c r="F2" s="64"/>
    </row>
    <row r="3" spans="1:6" x14ac:dyDescent="0.2">
      <c r="A3" s="24" t="s">
        <v>2</v>
      </c>
      <c r="B3" s="24" t="s">
        <v>486</v>
      </c>
      <c r="C3" s="24" t="s">
        <v>487</v>
      </c>
      <c r="D3" s="24" t="s">
        <v>488</v>
      </c>
      <c r="E3" s="24" t="s">
        <v>489</v>
      </c>
      <c r="F3" s="24" t="s">
        <v>490</v>
      </c>
    </row>
    <row r="4" spans="1:6" x14ac:dyDescent="0.2">
      <c r="A4" s="1" t="s">
        <v>13</v>
      </c>
      <c r="B4" s="1" t="str">
        <f>VLOOKUP(A4,'Sales Data'!C:D,2,FALSE)</f>
        <v>Mumbai</v>
      </c>
      <c r="C4" s="1" t="str">
        <f>INDEX('Sales Data'!E:E,MATCH(A4,'Sales Data'!C:C,0))</f>
        <v>West</v>
      </c>
      <c r="D4" s="1">
        <f>INDEX('Sales Data'!K:K,MATCH(A4,'Sales Data'!C:C,0))</f>
        <v>1797</v>
      </c>
      <c r="E4" s="1" t="str">
        <f>IF(D4&gt;=10000,"🌟High Value","Low Value")</f>
        <v>Low Value</v>
      </c>
      <c r="F4" s="1" t="str">
        <f>IF(D4&gt;=50000,"Excellent",IF(D4&gt;=10000,"Good","Average"))</f>
        <v>Average</v>
      </c>
    </row>
    <row r="5" spans="1:6" x14ac:dyDescent="0.2">
      <c r="A5" s="1" t="s">
        <v>41</v>
      </c>
      <c r="B5" s="1" t="str">
        <f>VLOOKUP(A5,'Sales Data'!C:D,2,FALSE)</f>
        <v>Surat</v>
      </c>
      <c r="C5" s="1" t="str">
        <f>INDEX('Sales Data'!E:E,MATCH(A5,'Sales Data'!C:C,0))</f>
        <v>West</v>
      </c>
      <c r="D5" s="1">
        <f>INDEX('Sales Data'!K:K,MATCH(A5,'Sales Data'!C:C,0))</f>
        <v>89998.2</v>
      </c>
      <c r="E5" s="1" t="str">
        <f t="shared" ref="E5:E28" si="0">IF(D5&gt;=10000,"🌟High Value","Low Value")</f>
        <v>🌟High Value</v>
      </c>
      <c r="F5" s="1" t="str">
        <f t="shared" ref="F5:F28" si="1">IF(D5&gt;=50000,"Excellent",IF(D5&gt;=10000,"Good","Average"))</f>
        <v>Excellent</v>
      </c>
    </row>
    <row r="6" spans="1:6" x14ac:dyDescent="0.2">
      <c r="A6" s="1" t="s">
        <v>32</v>
      </c>
      <c r="B6" s="1" t="str">
        <f>VLOOKUP(A6,'Sales Data'!C:D,2,FALSE)</f>
        <v>Mumbai</v>
      </c>
      <c r="C6" s="1" t="str">
        <f>INDEX('Sales Data'!E:E,MATCH(A6,'Sales Data'!C:C,0))</f>
        <v>West</v>
      </c>
      <c r="D6" s="1">
        <f>INDEX('Sales Data'!K:K,MATCH(A6,'Sales Data'!C:C,0))</f>
        <v>15743.7</v>
      </c>
      <c r="E6" s="1" t="str">
        <f t="shared" si="0"/>
        <v>🌟High Value</v>
      </c>
      <c r="F6" s="1" t="str">
        <f t="shared" si="1"/>
        <v>Good</v>
      </c>
    </row>
    <row r="7" spans="1:6" x14ac:dyDescent="0.2">
      <c r="A7" s="1" t="s">
        <v>20</v>
      </c>
      <c r="B7" s="1" t="str">
        <f>VLOOKUP(A7,'Sales Data'!C:D,2,FALSE)</f>
        <v>Delhi</v>
      </c>
      <c r="C7" s="1" t="str">
        <f>INDEX('Sales Data'!E:E,MATCH(A7,'Sales Data'!C:C,0))</f>
        <v>North</v>
      </c>
      <c r="D7" s="1">
        <f>INDEX('Sales Data'!K:K,MATCH(A7,'Sales Data'!C:C,0))</f>
        <v>379.05</v>
      </c>
      <c r="E7" s="1" t="str">
        <f t="shared" si="0"/>
        <v>Low Value</v>
      </c>
      <c r="F7" s="1" t="str">
        <f t="shared" si="1"/>
        <v>Average</v>
      </c>
    </row>
    <row r="8" spans="1:6" x14ac:dyDescent="0.2">
      <c r="A8" s="1" t="s">
        <v>36</v>
      </c>
      <c r="B8" s="1" t="str">
        <f>VLOOKUP(A8,'Sales Data'!C:D,2,FALSE)</f>
        <v>Delhi</v>
      </c>
      <c r="C8" s="1" t="str">
        <f>INDEX('Sales Data'!E:E,MATCH(A8,'Sales Data'!C:C,0))</f>
        <v>North</v>
      </c>
      <c r="D8" s="1">
        <f>INDEX('Sales Data'!K:K,MATCH(A8,'Sales Data'!C:C,0))</f>
        <v>5398.2</v>
      </c>
      <c r="E8" s="1" t="str">
        <f t="shared" si="0"/>
        <v>Low Value</v>
      </c>
      <c r="F8" s="1" t="str">
        <f t="shared" si="1"/>
        <v>Average</v>
      </c>
    </row>
    <row r="9" spans="1:6" x14ac:dyDescent="0.2">
      <c r="A9" s="1" t="s">
        <v>20</v>
      </c>
      <c r="B9" s="1" t="str">
        <f>VLOOKUP(A9,'Sales Data'!C:D,2,FALSE)</f>
        <v>Delhi</v>
      </c>
      <c r="C9" s="1" t="str">
        <f>INDEX('Sales Data'!E:E,MATCH(A9,'Sales Data'!C:C,0))</f>
        <v>North</v>
      </c>
      <c r="D9" s="1">
        <f>INDEX('Sales Data'!K:K,MATCH(A9,'Sales Data'!C:C,0))</f>
        <v>379.05</v>
      </c>
      <c r="E9" s="1" t="str">
        <f t="shared" si="0"/>
        <v>Low Value</v>
      </c>
      <c r="F9" s="1" t="str">
        <f t="shared" si="1"/>
        <v>Average</v>
      </c>
    </row>
    <row r="10" spans="1:6" x14ac:dyDescent="0.2">
      <c r="A10" s="1" t="s">
        <v>36</v>
      </c>
      <c r="B10" s="1" t="str">
        <f>VLOOKUP(A10,'Sales Data'!C:D,2,FALSE)</f>
        <v>Delhi</v>
      </c>
      <c r="C10" s="1" t="str">
        <f>INDEX('Sales Data'!E:E,MATCH(A10,'Sales Data'!C:C,0))</f>
        <v>North</v>
      </c>
      <c r="D10" s="1">
        <f>INDEX('Sales Data'!K:K,MATCH(A10,'Sales Data'!C:C,0))</f>
        <v>5398.2</v>
      </c>
      <c r="E10" s="1" t="str">
        <f t="shared" si="0"/>
        <v>Low Value</v>
      </c>
      <c r="F10" s="1" t="str">
        <f t="shared" si="1"/>
        <v>Average</v>
      </c>
    </row>
    <row r="11" spans="1:6" x14ac:dyDescent="0.2">
      <c r="A11" s="1" t="s">
        <v>41</v>
      </c>
      <c r="B11" s="1" t="str">
        <f>VLOOKUP(A11,'Sales Data'!C:D,2,FALSE)</f>
        <v>Surat</v>
      </c>
      <c r="C11" s="1" t="str">
        <f>INDEX('Sales Data'!E:E,MATCH(A11,'Sales Data'!C:C,0))</f>
        <v>West</v>
      </c>
      <c r="D11" s="1">
        <f>INDEX('Sales Data'!K:K,MATCH(A11,'Sales Data'!C:C,0))</f>
        <v>89998.2</v>
      </c>
      <c r="E11" s="1" t="str">
        <f t="shared" si="0"/>
        <v>🌟High Value</v>
      </c>
      <c r="F11" s="1" t="str">
        <f t="shared" si="1"/>
        <v>Excellent</v>
      </c>
    </row>
    <row r="12" spans="1:6" x14ac:dyDescent="0.2">
      <c r="A12" s="1" t="s">
        <v>44</v>
      </c>
      <c r="B12" s="1" t="str">
        <f>VLOOKUP(A12,'Sales Data'!C:D,2,FALSE)</f>
        <v>Chennai</v>
      </c>
      <c r="C12" s="1" t="str">
        <f>INDEX('Sales Data'!E:E,MATCH(A12,'Sales Data'!C:C,0))</f>
        <v>South</v>
      </c>
      <c r="D12" s="1">
        <f>INDEX('Sales Data'!K:K,MATCH(A12,'Sales Data'!C:C,0))</f>
        <v>7996</v>
      </c>
      <c r="E12" s="1" t="str">
        <f t="shared" si="0"/>
        <v>Low Value</v>
      </c>
      <c r="F12" s="1" t="str">
        <f t="shared" si="1"/>
        <v>Average</v>
      </c>
    </row>
    <row r="13" spans="1:6" x14ac:dyDescent="0.2">
      <c r="A13" s="1" t="s">
        <v>49</v>
      </c>
      <c r="B13" s="1" t="str">
        <f>VLOOKUP(A13,'Sales Data'!C:D,2,FALSE)</f>
        <v>Kolkata</v>
      </c>
      <c r="C13" s="1" t="str">
        <f>INDEX('Sales Data'!E:E,MATCH(A13,'Sales Data'!C:C,0))</f>
        <v>East</v>
      </c>
      <c r="D13" s="1">
        <f>INDEX('Sales Data'!K:K,MATCH(A13,'Sales Data'!C:C,0))</f>
        <v>4314.6000000000004</v>
      </c>
      <c r="E13" s="1" t="str">
        <f t="shared" si="0"/>
        <v>Low Value</v>
      </c>
      <c r="F13" s="1" t="str">
        <f t="shared" si="1"/>
        <v>Average</v>
      </c>
    </row>
    <row r="14" spans="1:6" x14ac:dyDescent="0.2">
      <c r="A14" s="1" t="s">
        <v>32</v>
      </c>
      <c r="B14" s="1" t="str">
        <f>VLOOKUP(A14,'Sales Data'!C:D,2,FALSE)</f>
        <v>Mumbai</v>
      </c>
      <c r="C14" s="1" t="str">
        <f>INDEX('Sales Data'!E:E,MATCH(A14,'Sales Data'!C:C,0))</f>
        <v>West</v>
      </c>
      <c r="D14" s="1">
        <f>INDEX('Sales Data'!K:K,MATCH(A14,'Sales Data'!C:C,0))</f>
        <v>15743.7</v>
      </c>
      <c r="E14" s="1" t="str">
        <f t="shared" si="0"/>
        <v>🌟High Value</v>
      </c>
      <c r="F14" s="1" t="str">
        <f t="shared" si="1"/>
        <v>Good</v>
      </c>
    </row>
    <row r="15" spans="1:6" x14ac:dyDescent="0.2">
      <c r="A15" s="1" t="s">
        <v>20</v>
      </c>
      <c r="B15" s="1" t="str">
        <f>VLOOKUP(A15,'Sales Data'!C:D,2,FALSE)</f>
        <v>Delhi</v>
      </c>
      <c r="C15" s="1" t="str">
        <f>INDEX('Sales Data'!E:E,MATCH(A15,'Sales Data'!C:C,0))</f>
        <v>North</v>
      </c>
      <c r="D15" s="1">
        <f>INDEX('Sales Data'!K:K,MATCH(A15,'Sales Data'!C:C,0))</f>
        <v>379.05</v>
      </c>
      <c r="E15" s="1" t="str">
        <f t="shared" si="0"/>
        <v>Low Value</v>
      </c>
      <c r="F15" s="1" t="str">
        <f t="shared" si="1"/>
        <v>Average</v>
      </c>
    </row>
    <row r="16" spans="1:6" x14ac:dyDescent="0.2">
      <c r="A16" s="1" t="s">
        <v>61</v>
      </c>
      <c r="B16" s="1" t="str">
        <f>VLOOKUP(A16,'Sales Data'!C:D,2,FALSE)</f>
        <v>Chennai</v>
      </c>
      <c r="C16" s="1" t="str">
        <f>INDEX('Sales Data'!E:E,MATCH(A16,'Sales Data'!C:C,0))</f>
        <v>South</v>
      </c>
      <c r="D16" s="1">
        <f>INDEX('Sales Data'!K:K,MATCH(A16,'Sales Data'!C:C,0))</f>
        <v>23994</v>
      </c>
      <c r="E16" s="1" t="str">
        <f t="shared" si="0"/>
        <v>🌟High Value</v>
      </c>
      <c r="F16" s="1" t="str">
        <f t="shared" si="1"/>
        <v>Good</v>
      </c>
    </row>
    <row r="17" spans="1:6" x14ac:dyDescent="0.2">
      <c r="A17" s="1" t="s">
        <v>32</v>
      </c>
      <c r="B17" s="1" t="str">
        <f>VLOOKUP(A17,'Sales Data'!C:D,2,FALSE)</f>
        <v>Mumbai</v>
      </c>
      <c r="C17" s="1" t="str">
        <f>INDEX('Sales Data'!E:E,MATCH(A17,'Sales Data'!C:C,0))</f>
        <v>West</v>
      </c>
      <c r="D17" s="1">
        <f>INDEX('Sales Data'!K:K,MATCH(A17,'Sales Data'!C:C,0))</f>
        <v>15743.7</v>
      </c>
      <c r="E17" s="1" t="str">
        <f t="shared" si="0"/>
        <v>🌟High Value</v>
      </c>
      <c r="F17" s="1" t="str">
        <f t="shared" si="1"/>
        <v>Good</v>
      </c>
    </row>
    <row r="18" spans="1:6" x14ac:dyDescent="0.2">
      <c r="A18" s="1" t="s">
        <v>44</v>
      </c>
      <c r="B18" s="1" t="str">
        <f>VLOOKUP(A18,'Sales Data'!C:D,2,FALSE)</f>
        <v>Chennai</v>
      </c>
      <c r="C18" s="1" t="str">
        <f>INDEX('Sales Data'!E:E,MATCH(A18,'Sales Data'!C:C,0))</f>
        <v>South</v>
      </c>
      <c r="D18" s="1">
        <f>INDEX('Sales Data'!K:K,MATCH(A18,'Sales Data'!C:C,0))</f>
        <v>7996</v>
      </c>
      <c r="E18" s="1" t="str">
        <f t="shared" si="0"/>
        <v>Low Value</v>
      </c>
      <c r="F18" s="1" t="str">
        <f t="shared" si="1"/>
        <v>Average</v>
      </c>
    </row>
    <row r="19" spans="1:6" x14ac:dyDescent="0.2">
      <c r="A19" s="1" t="s">
        <v>13</v>
      </c>
      <c r="B19" s="1" t="str">
        <f>VLOOKUP(A19,'Sales Data'!C:D,2,FALSE)</f>
        <v>Mumbai</v>
      </c>
      <c r="C19" s="1" t="str">
        <f>INDEX('Sales Data'!E:E,MATCH(A19,'Sales Data'!C:C,0))</f>
        <v>West</v>
      </c>
      <c r="D19" s="1">
        <f>INDEX('Sales Data'!K:K,MATCH(A19,'Sales Data'!C:C,0))</f>
        <v>1797</v>
      </c>
      <c r="E19" s="1" t="str">
        <f t="shared" si="0"/>
        <v>Low Value</v>
      </c>
      <c r="F19" s="1" t="str">
        <f t="shared" si="1"/>
        <v>Average</v>
      </c>
    </row>
    <row r="20" spans="1:6" x14ac:dyDescent="0.2">
      <c r="A20" s="1" t="s">
        <v>69</v>
      </c>
      <c r="B20" s="1" t="str">
        <f>VLOOKUP(A20,'Sales Data'!C:D,2,FALSE)</f>
        <v>Ahmedabad</v>
      </c>
      <c r="C20" s="1" t="str">
        <f>INDEX('Sales Data'!E:E,MATCH(A20,'Sales Data'!C:C,0))</f>
        <v>West</v>
      </c>
      <c r="D20" s="1">
        <f>INDEX('Sales Data'!K:K,MATCH(A20,'Sales Data'!C:C,0))</f>
        <v>374.25</v>
      </c>
      <c r="E20" s="1" t="str">
        <f t="shared" si="0"/>
        <v>Low Value</v>
      </c>
      <c r="F20" s="1" t="str">
        <f t="shared" si="1"/>
        <v>Average</v>
      </c>
    </row>
    <row r="21" spans="1:6" x14ac:dyDescent="0.2">
      <c r="A21" s="1" t="s">
        <v>36</v>
      </c>
      <c r="B21" s="1" t="str">
        <f>VLOOKUP(A21,'Sales Data'!C:D,2,FALSE)</f>
        <v>Delhi</v>
      </c>
      <c r="C21" s="1" t="str">
        <f>INDEX('Sales Data'!E:E,MATCH(A21,'Sales Data'!C:C,0))</f>
        <v>North</v>
      </c>
      <c r="D21" s="1">
        <f>INDEX('Sales Data'!K:K,MATCH(A21,'Sales Data'!C:C,0))</f>
        <v>5398.2</v>
      </c>
      <c r="E21" s="1" t="str">
        <f t="shared" si="0"/>
        <v>Low Value</v>
      </c>
      <c r="F21" s="1" t="str">
        <f t="shared" si="1"/>
        <v>Average</v>
      </c>
    </row>
    <row r="22" spans="1:6" x14ac:dyDescent="0.2">
      <c r="A22" s="1" t="s">
        <v>75</v>
      </c>
      <c r="B22" s="1" t="str">
        <f>VLOOKUP(A22,'Sales Data'!C:D,2,FALSE)</f>
        <v>Ahmedabad</v>
      </c>
      <c r="C22" s="1" t="str">
        <f>INDEX('Sales Data'!E:E,MATCH(A22,'Sales Data'!C:C,0))</f>
        <v>West</v>
      </c>
      <c r="D22" s="1">
        <f>INDEX('Sales Data'!K:K,MATCH(A22,'Sales Data'!C:C,0))</f>
        <v>99996</v>
      </c>
      <c r="E22" s="1" t="str">
        <f t="shared" si="0"/>
        <v>🌟High Value</v>
      </c>
      <c r="F22" s="1" t="str">
        <f t="shared" si="1"/>
        <v>Excellent</v>
      </c>
    </row>
    <row r="23" spans="1:6" x14ac:dyDescent="0.2">
      <c r="A23" s="1" t="s">
        <v>78</v>
      </c>
      <c r="B23" s="1" t="str">
        <f>VLOOKUP(A23,'Sales Data'!C:D,2,FALSE)</f>
        <v>Bangalore</v>
      </c>
      <c r="C23" s="1" t="str">
        <f>INDEX('Sales Data'!E:E,MATCH(A23,'Sales Data'!C:C,0))</f>
        <v>South</v>
      </c>
      <c r="D23" s="1">
        <f>INDEX('Sales Data'!K:K,MATCH(A23,'Sales Data'!C:C,0))</f>
        <v>89994</v>
      </c>
      <c r="E23" s="1" t="str">
        <f t="shared" si="0"/>
        <v>🌟High Value</v>
      </c>
      <c r="F23" s="1" t="str">
        <f t="shared" si="1"/>
        <v>Excellent</v>
      </c>
    </row>
    <row r="24" spans="1:6" x14ac:dyDescent="0.2">
      <c r="A24" s="1" t="s">
        <v>82</v>
      </c>
      <c r="B24" s="1" t="str">
        <f>VLOOKUP(A24,'Sales Data'!C:D,2,FALSE)</f>
        <v>Chennai</v>
      </c>
      <c r="C24" s="1" t="str">
        <f>INDEX('Sales Data'!E:E,MATCH(A24,'Sales Data'!C:C,0))</f>
        <v>South</v>
      </c>
      <c r="D24" s="1">
        <f>INDEX('Sales Data'!K:K,MATCH(A24,'Sales Data'!C:C,0))</f>
        <v>3990</v>
      </c>
      <c r="E24" s="1" t="str">
        <f t="shared" si="0"/>
        <v>Low Value</v>
      </c>
      <c r="F24" s="1" t="str">
        <f t="shared" si="1"/>
        <v>Average</v>
      </c>
    </row>
    <row r="25" spans="1:6" x14ac:dyDescent="0.2">
      <c r="A25" s="1" t="s">
        <v>20</v>
      </c>
      <c r="B25" s="1" t="str">
        <f>VLOOKUP(A25,'Sales Data'!C:D,2,FALSE)</f>
        <v>Delhi</v>
      </c>
      <c r="C25" s="1" t="str">
        <f>INDEX('Sales Data'!E:E,MATCH(A25,'Sales Data'!C:C,0))</f>
        <v>North</v>
      </c>
      <c r="D25" s="1">
        <f>INDEX('Sales Data'!K:K,MATCH(A25,'Sales Data'!C:C,0))</f>
        <v>379.05</v>
      </c>
      <c r="E25" s="1" t="str">
        <f t="shared" si="0"/>
        <v>Low Value</v>
      </c>
      <c r="F25" s="1" t="str">
        <f t="shared" si="1"/>
        <v>Average</v>
      </c>
    </row>
    <row r="26" spans="1:6" x14ac:dyDescent="0.2">
      <c r="A26" s="1" t="s">
        <v>27</v>
      </c>
      <c r="B26" s="1" t="str">
        <f>VLOOKUP(A26,'Sales Data'!C:D,2,FALSE)</f>
        <v>Mumbai</v>
      </c>
      <c r="C26" s="1" t="str">
        <f>INDEX('Sales Data'!E:E,MATCH(A26,'Sales Data'!C:C,0))</f>
        <v>West</v>
      </c>
      <c r="D26" s="1">
        <f>INDEX('Sales Data'!K:K,MATCH(A26,'Sales Data'!C:C,0))</f>
        <v>42741.45</v>
      </c>
      <c r="E26" s="1" t="str">
        <f t="shared" si="0"/>
        <v>🌟High Value</v>
      </c>
      <c r="F26" s="1" t="str">
        <f t="shared" si="1"/>
        <v>Good</v>
      </c>
    </row>
    <row r="27" spans="1:6" x14ac:dyDescent="0.2">
      <c r="A27" s="1" t="s">
        <v>88</v>
      </c>
      <c r="B27" s="1" t="str">
        <f>VLOOKUP(A27,'Sales Data'!C:D,2,FALSE)</f>
        <v>Surat</v>
      </c>
      <c r="C27" s="1" t="str">
        <f>INDEX('Sales Data'!E:E,MATCH(A27,'Sales Data'!C:C,0))</f>
        <v>West</v>
      </c>
      <c r="D27" s="1">
        <f>INDEX('Sales Data'!K:K,MATCH(A27,'Sales Data'!C:C,0))</f>
        <v>1436.4</v>
      </c>
      <c r="E27" s="1" t="str">
        <f t="shared" si="0"/>
        <v>Low Value</v>
      </c>
      <c r="F27" s="1" t="str">
        <f t="shared" si="1"/>
        <v>Average</v>
      </c>
    </row>
    <row r="28" spans="1:6" x14ac:dyDescent="0.2">
      <c r="A28" s="1" t="s">
        <v>20</v>
      </c>
      <c r="B28" s="1" t="str">
        <f>VLOOKUP(A28,'Sales Data'!C:D,2,FALSE)</f>
        <v>Delhi</v>
      </c>
      <c r="C28" s="1" t="str">
        <f>INDEX('Sales Data'!E:E,MATCH(A28,'Sales Data'!C:C,0))</f>
        <v>North</v>
      </c>
      <c r="D28" s="1">
        <f>INDEX('Sales Data'!K:K,MATCH(A28,'Sales Data'!C:C,0))</f>
        <v>379.05</v>
      </c>
      <c r="E28" s="1" t="str">
        <f t="shared" si="0"/>
        <v>Low Value</v>
      </c>
      <c r="F28" s="1" t="str">
        <f t="shared" si="1"/>
        <v>Average</v>
      </c>
    </row>
  </sheetData>
  <mergeCells count="1">
    <mergeCell ref="A1:F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D825F-4647-8247-A034-E7A8F4662055}">
  <dimension ref="A1:G36"/>
  <sheetViews>
    <sheetView workbookViewId="0">
      <selection activeCell="G25" sqref="G25"/>
    </sheetView>
  </sheetViews>
  <sheetFormatPr baseColWidth="10" defaultRowHeight="15" x14ac:dyDescent="0.2"/>
  <cols>
    <col min="1" max="1" width="42.5" customWidth="1"/>
    <col min="2" max="2" width="27.33203125" customWidth="1"/>
    <col min="3" max="3" width="10.33203125" customWidth="1"/>
    <col min="4" max="4" width="14.6640625" customWidth="1"/>
    <col min="5" max="5" width="14.5" customWidth="1"/>
    <col min="7" max="7" width="26.1640625" customWidth="1"/>
    <col min="8" max="8" width="19.1640625" customWidth="1"/>
  </cols>
  <sheetData>
    <row r="1" spans="1:7" x14ac:dyDescent="0.2">
      <c r="A1" s="65" t="s">
        <v>492</v>
      </c>
      <c r="B1" s="66"/>
      <c r="C1" s="66"/>
      <c r="D1" s="66"/>
      <c r="E1" s="66"/>
      <c r="F1" s="66"/>
      <c r="G1" s="66"/>
    </row>
    <row r="2" spans="1:7" x14ac:dyDescent="0.2">
      <c r="A2" s="66"/>
      <c r="B2" s="66"/>
      <c r="C2" s="66"/>
      <c r="D2" s="66"/>
      <c r="E2" s="66"/>
      <c r="F2" s="66"/>
      <c r="G2" s="66"/>
    </row>
    <row r="3" spans="1:7" ht="15" customHeight="1" x14ac:dyDescent="0.2">
      <c r="A3" s="67" t="s">
        <v>494</v>
      </c>
      <c r="B3" s="68"/>
      <c r="D3" s="67" t="s">
        <v>495</v>
      </c>
      <c r="E3" s="67"/>
    </row>
    <row r="4" spans="1:7" ht="15" customHeight="1" x14ac:dyDescent="0.2">
      <c r="A4" s="68"/>
      <c r="B4" s="68"/>
      <c r="D4" s="67"/>
      <c r="E4" s="67"/>
    </row>
    <row r="5" spans="1:7" ht="15" customHeight="1" x14ac:dyDescent="0.2">
      <c r="A5" s="69"/>
      <c r="B5" s="69"/>
      <c r="D5" s="70"/>
      <c r="E5" s="70"/>
    </row>
    <row r="6" spans="1:7" ht="26" x14ac:dyDescent="0.3">
      <c r="A6" s="28" t="s">
        <v>4</v>
      </c>
      <c r="B6" s="28" t="s">
        <v>493</v>
      </c>
      <c r="D6" s="25" t="s">
        <v>5</v>
      </c>
      <c r="E6" s="25" t="s">
        <v>493</v>
      </c>
    </row>
    <row r="7" spans="1:7" ht="26" x14ac:dyDescent="0.3">
      <c r="A7" s="29" t="s">
        <v>22</v>
      </c>
      <c r="B7" s="29">
        <f>SUMIF('Sales Data'!E:E,A7,'Sales Data'!K:K)</f>
        <v>2339394.65</v>
      </c>
      <c r="D7" s="30" t="s">
        <v>79</v>
      </c>
      <c r="E7" s="30">
        <f>SUMIF('Sales Data'!F:F,D7,'Sales Data'!K:K)</f>
        <v>764764.7</v>
      </c>
    </row>
    <row r="8" spans="1:7" ht="26" x14ac:dyDescent="0.3">
      <c r="A8" s="29" t="s">
        <v>46</v>
      </c>
      <c r="B8" s="29">
        <f>SUMIF('Sales Data'!E:E,A8,'Sales Data'!K:K)</f>
        <v>3670483.9999999991</v>
      </c>
      <c r="D8" s="30" t="s">
        <v>33</v>
      </c>
      <c r="E8" s="30">
        <f>SUMIF('Sales Data'!F:F,D8,'Sales Data'!K:K)</f>
        <v>2228334.0499999998</v>
      </c>
    </row>
    <row r="9" spans="1:7" ht="26" x14ac:dyDescent="0.3">
      <c r="A9" s="29" t="s">
        <v>51</v>
      </c>
      <c r="B9" s="29">
        <f>SUMIF('Sales Data'!E:E,A9,'Sales Data'!K:K)</f>
        <v>1407245.5499999998</v>
      </c>
      <c r="D9" s="30" t="s">
        <v>28</v>
      </c>
      <c r="E9" s="30">
        <f>SUMIF('Sales Data'!F:F,D9,'Sales Data'!K:K)</f>
        <v>1487729.8</v>
      </c>
    </row>
    <row r="10" spans="1:7" ht="26" x14ac:dyDescent="0.3">
      <c r="A10" s="29" t="s">
        <v>15</v>
      </c>
      <c r="B10" s="29">
        <f>SUMIF('Sales Data'!E:E,A10,'Sales Data'!K:K)</f>
        <v>5057053.9499999983</v>
      </c>
    </row>
    <row r="12" spans="1:7" x14ac:dyDescent="0.2">
      <c r="A12" s="71" t="s">
        <v>496</v>
      </c>
      <c r="B12" s="71"/>
    </row>
    <row r="13" spans="1:7" x14ac:dyDescent="0.2">
      <c r="A13" s="72"/>
      <c r="B13" s="72"/>
    </row>
    <row r="14" spans="1:7" ht="26" x14ac:dyDescent="0.3">
      <c r="A14" s="28" t="s">
        <v>11</v>
      </c>
      <c r="B14" s="28" t="s">
        <v>497</v>
      </c>
    </row>
    <row r="15" spans="1:7" ht="26" x14ac:dyDescent="0.3">
      <c r="A15" s="29" t="s">
        <v>30</v>
      </c>
      <c r="B15" s="29">
        <f>COUNTIF('Sales Data'!L:L,A15)</f>
        <v>67</v>
      </c>
    </row>
    <row r="16" spans="1:7" ht="26" x14ac:dyDescent="0.3">
      <c r="A16" s="29" t="s">
        <v>18</v>
      </c>
      <c r="B16" s="29">
        <f>COUNTIF('Sales Data'!L:L,A16)</f>
        <v>87</v>
      </c>
    </row>
    <row r="17" spans="1:2" ht="26" x14ac:dyDescent="0.3">
      <c r="A17" s="29" t="s">
        <v>25</v>
      </c>
      <c r="B17" s="29">
        <f>COUNTIF('Sales Data'!L:L,A17)</f>
        <v>73</v>
      </c>
    </row>
    <row r="29" spans="1:2" ht="24" customHeight="1" x14ac:dyDescent="0.2"/>
    <row r="30" spans="1:2" ht="24" customHeight="1" x14ac:dyDescent="0.2"/>
    <row r="31" spans="1:2" ht="24" customHeight="1" x14ac:dyDescent="0.2"/>
    <row r="32" spans="1:2" ht="24" customHeight="1" x14ac:dyDescent="0.2"/>
    <row r="33" spans="1:3" ht="24" customHeight="1" x14ac:dyDescent="0.2"/>
    <row r="34" spans="1:3" ht="24" customHeight="1" x14ac:dyDescent="0.2"/>
    <row r="35" spans="1:3" ht="24" customHeight="1" x14ac:dyDescent="0.2"/>
    <row r="36" spans="1:3" ht="24" x14ac:dyDescent="0.3">
      <c r="A36" s="31"/>
      <c r="B36" s="31"/>
      <c r="C36" s="31"/>
    </row>
  </sheetData>
  <mergeCells count="4">
    <mergeCell ref="A1:G2"/>
    <mergeCell ref="A3:B5"/>
    <mergeCell ref="D3:E5"/>
    <mergeCell ref="A12:B1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DC70D-0A19-C74A-B44C-F803EBFFBC86}">
  <dimension ref="A1:C353"/>
  <sheetViews>
    <sheetView workbookViewId="0">
      <selection activeCell="C14" sqref="C14"/>
    </sheetView>
  </sheetViews>
  <sheetFormatPr baseColWidth="10" defaultRowHeight="15" x14ac:dyDescent="0.2"/>
  <cols>
    <col min="1" max="1" width="12.1640625" customWidth="1"/>
    <col min="2" max="2" width="21.1640625" customWidth="1"/>
    <col min="3" max="3" width="23.5" customWidth="1"/>
  </cols>
  <sheetData>
    <row r="1" spans="1:3" x14ac:dyDescent="0.2">
      <c r="A1" s="73" t="s">
        <v>491</v>
      </c>
      <c r="B1" s="74"/>
      <c r="C1" s="75"/>
    </row>
    <row r="2" spans="1:3" x14ac:dyDescent="0.2">
      <c r="A2" s="76"/>
      <c r="B2" s="77"/>
      <c r="C2" s="78"/>
    </row>
    <row r="3" spans="1:3" ht="21" x14ac:dyDescent="0.25">
      <c r="A3" s="25" t="s">
        <v>0</v>
      </c>
      <c r="B3" s="26" t="s">
        <v>2</v>
      </c>
      <c r="C3" s="27" t="s">
        <v>10</v>
      </c>
    </row>
    <row r="4" spans="1:3" x14ac:dyDescent="0.2">
      <c r="A4" s="1" t="s">
        <v>12</v>
      </c>
      <c r="B4" s="1" t="s">
        <v>13</v>
      </c>
      <c r="C4" s="12">
        <v>1797</v>
      </c>
    </row>
    <row r="5" spans="1:3" x14ac:dyDescent="0.2">
      <c r="A5" s="1" t="s">
        <v>19</v>
      </c>
      <c r="B5" s="1" t="s">
        <v>20</v>
      </c>
      <c r="C5" s="12">
        <v>379.05</v>
      </c>
    </row>
    <row r="6" spans="1:3" x14ac:dyDescent="0.2">
      <c r="A6" s="1" t="s">
        <v>26</v>
      </c>
      <c r="B6" s="1" t="s">
        <v>27</v>
      </c>
      <c r="C6" s="12">
        <v>42741.45</v>
      </c>
    </row>
    <row r="7" spans="1:3" x14ac:dyDescent="0.2">
      <c r="A7" s="1" t="s">
        <v>31</v>
      </c>
      <c r="B7" s="1" t="s">
        <v>32</v>
      </c>
      <c r="C7" s="12">
        <v>15743.7</v>
      </c>
    </row>
    <row r="8" spans="1:3" x14ac:dyDescent="0.2">
      <c r="A8" s="1" t="s">
        <v>35</v>
      </c>
      <c r="B8" s="1" t="s">
        <v>36</v>
      </c>
      <c r="C8" s="12">
        <v>5398.2</v>
      </c>
    </row>
    <row r="9" spans="1:3" x14ac:dyDescent="0.2">
      <c r="A9" s="1" t="s">
        <v>40</v>
      </c>
      <c r="B9" s="1" t="s">
        <v>41</v>
      </c>
      <c r="C9" s="12">
        <v>89998.2</v>
      </c>
    </row>
    <row r="10" spans="1:3" x14ac:dyDescent="0.2">
      <c r="A10" s="1" t="s">
        <v>43</v>
      </c>
      <c r="B10" s="1" t="s">
        <v>44</v>
      </c>
      <c r="C10" s="12">
        <v>7996</v>
      </c>
    </row>
    <row r="11" spans="1:3" x14ac:dyDescent="0.2">
      <c r="A11" s="1" t="s">
        <v>48</v>
      </c>
      <c r="B11" s="1" t="s">
        <v>49</v>
      </c>
      <c r="C11" s="12">
        <v>4314.6000000000004</v>
      </c>
    </row>
    <row r="12" spans="1:3" x14ac:dyDescent="0.2">
      <c r="A12" s="1" t="s">
        <v>55</v>
      </c>
      <c r="B12" s="1" t="s">
        <v>32</v>
      </c>
      <c r="C12" s="12">
        <v>2716.6</v>
      </c>
    </row>
    <row r="13" spans="1:3" x14ac:dyDescent="0.2">
      <c r="A13" s="1" t="s">
        <v>57</v>
      </c>
      <c r="B13" s="1" t="s">
        <v>20</v>
      </c>
      <c r="C13" s="12">
        <v>1076.4000000000001</v>
      </c>
    </row>
    <row r="14" spans="1:3" x14ac:dyDescent="0.2">
      <c r="A14" s="1" t="s">
        <v>60</v>
      </c>
      <c r="B14" s="1" t="s">
        <v>61</v>
      </c>
      <c r="C14" s="12">
        <v>23994</v>
      </c>
    </row>
    <row r="15" spans="1:3" x14ac:dyDescent="0.2">
      <c r="A15" s="1" t="s">
        <v>63</v>
      </c>
      <c r="B15" s="1" t="s">
        <v>32</v>
      </c>
      <c r="C15" s="12">
        <v>404991.9</v>
      </c>
    </row>
    <row r="16" spans="1:3" x14ac:dyDescent="0.2">
      <c r="A16" s="1" t="s">
        <v>65</v>
      </c>
      <c r="B16" s="1" t="s">
        <v>44</v>
      </c>
      <c r="C16" s="12">
        <v>63747.45</v>
      </c>
    </row>
    <row r="17" spans="1:3" x14ac:dyDescent="0.2">
      <c r="A17" s="1" t="s">
        <v>67</v>
      </c>
      <c r="B17" s="1" t="s">
        <v>13</v>
      </c>
      <c r="C17" s="12">
        <v>2374.0500000000002</v>
      </c>
    </row>
    <row r="18" spans="1:3" x14ac:dyDescent="0.2">
      <c r="A18" s="1" t="s">
        <v>68</v>
      </c>
      <c r="B18" s="1" t="s">
        <v>69</v>
      </c>
      <c r="C18" s="12">
        <v>374.25</v>
      </c>
    </row>
    <row r="19" spans="1:3" x14ac:dyDescent="0.2">
      <c r="A19" s="1" t="s">
        <v>72</v>
      </c>
      <c r="B19" s="1" t="s">
        <v>36</v>
      </c>
      <c r="C19" s="12">
        <v>29997</v>
      </c>
    </row>
    <row r="20" spans="1:3" x14ac:dyDescent="0.2">
      <c r="A20" s="1" t="s">
        <v>74</v>
      </c>
      <c r="B20" s="1" t="s">
        <v>75</v>
      </c>
      <c r="C20" s="12">
        <v>99996</v>
      </c>
    </row>
    <row r="21" spans="1:3" x14ac:dyDescent="0.2">
      <c r="A21" s="1" t="s">
        <v>77</v>
      </c>
      <c r="B21" s="1" t="s">
        <v>78</v>
      </c>
      <c r="C21" s="12">
        <v>89994</v>
      </c>
    </row>
    <row r="22" spans="1:3" x14ac:dyDescent="0.2">
      <c r="A22" s="1" t="s">
        <v>81</v>
      </c>
      <c r="B22" s="1" t="s">
        <v>82</v>
      </c>
      <c r="C22" s="12">
        <v>3990</v>
      </c>
    </row>
    <row r="23" spans="1:3" x14ac:dyDescent="0.2">
      <c r="A23" s="1" t="s">
        <v>84</v>
      </c>
      <c r="B23" s="1" t="s">
        <v>20</v>
      </c>
      <c r="C23" s="12">
        <v>379992.4</v>
      </c>
    </row>
    <row r="24" spans="1:3" x14ac:dyDescent="0.2">
      <c r="A24" s="1" t="s">
        <v>85</v>
      </c>
      <c r="B24" s="1" t="s">
        <v>27</v>
      </c>
      <c r="C24" s="12">
        <v>6796.6</v>
      </c>
    </row>
    <row r="25" spans="1:3" x14ac:dyDescent="0.2">
      <c r="A25" s="1" t="s">
        <v>87</v>
      </c>
      <c r="B25" s="1" t="s">
        <v>88</v>
      </c>
      <c r="C25" s="12">
        <v>1436.4</v>
      </c>
    </row>
    <row r="26" spans="1:3" x14ac:dyDescent="0.2">
      <c r="A26" s="1" t="s">
        <v>90</v>
      </c>
      <c r="B26" s="1" t="s">
        <v>20</v>
      </c>
      <c r="C26" s="12">
        <v>568.1</v>
      </c>
    </row>
    <row r="27" spans="1:3" x14ac:dyDescent="0.2">
      <c r="A27" s="1" t="s">
        <v>92</v>
      </c>
      <c r="B27" s="1" t="s">
        <v>36</v>
      </c>
      <c r="C27" s="12">
        <v>6393.6</v>
      </c>
    </row>
    <row r="28" spans="1:3" x14ac:dyDescent="0.2">
      <c r="A28" s="1" t="s">
        <v>94</v>
      </c>
      <c r="B28" s="1" t="s">
        <v>44</v>
      </c>
      <c r="C28" s="12">
        <v>6993</v>
      </c>
    </row>
    <row r="29" spans="1:3" x14ac:dyDescent="0.2">
      <c r="A29" s="1" t="s">
        <v>96</v>
      </c>
      <c r="B29" s="1" t="s">
        <v>97</v>
      </c>
      <c r="C29" s="12">
        <v>1794</v>
      </c>
    </row>
    <row r="30" spans="1:3" x14ac:dyDescent="0.2">
      <c r="A30" s="1" t="s">
        <v>100</v>
      </c>
      <c r="B30" s="1" t="s">
        <v>49</v>
      </c>
      <c r="C30" s="12">
        <v>3196.8</v>
      </c>
    </row>
    <row r="31" spans="1:3" x14ac:dyDescent="0.2">
      <c r="A31" s="1" t="s">
        <v>101</v>
      </c>
      <c r="B31" s="1" t="s">
        <v>97</v>
      </c>
      <c r="C31" s="12">
        <v>1356.6</v>
      </c>
    </row>
    <row r="32" spans="1:3" x14ac:dyDescent="0.2">
      <c r="A32" s="1" t="s">
        <v>102</v>
      </c>
      <c r="B32" s="1" t="s">
        <v>41</v>
      </c>
      <c r="C32" s="12">
        <v>2716.6</v>
      </c>
    </row>
    <row r="33" spans="1:3" x14ac:dyDescent="0.2">
      <c r="A33" s="1" t="s">
        <v>104</v>
      </c>
      <c r="B33" s="1" t="s">
        <v>105</v>
      </c>
      <c r="C33" s="12">
        <v>1184.05</v>
      </c>
    </row>
    <row r="34" spans="1:3" x14ac:dyDescent="0.2">
      <c r="A34" s="1" t="s">
        <v>106</v>
      </c>
      <c r="B34" s="1" t="s">
        <v>82</v>
      </c>
      <c r="C34" s="12">
        <v>7596.2</v>
      </c>
    </row>
    <row r="35" spans="1:3" x14ac:dyDescent="0.2">
      <c r="A35" s="1" t="s">
        <v>108</v>
      </c>
      <c r="B35" s="1" t="s">
        <v>20</v>
      </c>
      <c r="C35" s="12">
        <v>11999.2</v>
      </c>
    </row>
    <row r="36" spans="1:3" x14ac:dyDescent="0.2">
      <c r="A36" s="1" t="s">
        <v>109</v>
      </c>
      <c r="B36" s="1" t="s">
        <v>41</v>
      </c>
      <c r="C36" s="12">
        <v>598.5</v>
      </c>
    </row>
    <row r="37" spans="1:3" x14ac:dyDescent="0.2">
      <c r="A37" s="1" t="s">
        <v>110</v>
      </c>
      <c r="B37" s="1" t="s">
        <v>13</v>
      </c>
      <c r="C37" s="12">
        <v>2392</v>
      </c>
    </row>
    <row r="38" spans="1:3" x14ac:dyDescent="0.2">
      <c r="A38" s="1" t="s">
        <v>112</v>
      </c>
      <c r="B38" s="1" t="s">
        <v>44</v>
      </c>
      <c r="C38" s="12">
        <v>9496.2000000000007</v>
      </c>
    </row>
    <row r="39" spans="1:3" x14ac:dyDescent="0.2">
      <c r="A39" s="1" t="s">
        <v>114</v>
      </c>
      <c r="B39" s="1" t="s">
        <v>115</v>
      </c>
      <c r="C39" s="12">
        <v>338.3</v>
      </c>
    </row>
    <row r="40" spans="1:3" x14ac:dyDescent="0.2">
      <c r="A40" s="1" t="s">
        <v>117</v>
      </c>
      <c r="B40" s="1" t="s">
        <v>13</v>
      </c>
      <c r="C40" s="12">
        <v>2695.5</v>
      </c>
    </row>
    <row r="41" spans="1:3" x14ac:dyDescent="0.2">
      <c r="A41" s="1" t="s">
        <v>118</v>
      </c>
      <c r="B41" s="1" t="s">
        <v>78</v>
      </c>
      <c r="C41" s="12">
        <v>14392.8</v>
      </c>
    </row>
    <row r="42" spans="1:3" x14ac:dyDescent="0.2">
      <c r="A42" s="1" t="s">
        <v>120</v>
      </c>
      <c r="B42" s="1" t="s">
        <v>20</v>
      </c>
      <c r="C42" s="12">
        <v>2495</v>
      </c>
    </row>
    <row r="43" spans="1:3" x14ac:dyDescent="0.2">
      <c r="A43" s="1" t="s">
        <v>121</v>
      </c>
      <c r="B43" s="1" t="s">
        <v>32</v>
      </c>
      <c r="C43" s="12">
        <v>4495.5</v>
      </c>
    </row>
    <row r="44" spans="1:3" x14ac:dyDescent="0.2">
      <c r="A44" s="1" t="s">
        <v>122</v>
      </c>
      <c r="B44" s="1" t="s">
        <v>123</v>
      </c>
      <c r="C44" s="12">
        <v>10493</v>
      </c>
    </row>
    <row r="45" spans="1:3" x14ac:dyDescent="0.2">
      <c r="A45" s="1" t="s">
        <v>124</v>
      </c>
      <c r="B45" s="1" t="s">
        <v>115</v>
      </c>
      <c r="C45" s="12">
        <v>299994</v>
      </c>
    </row>
    <row r="46" spans="1:3" x14ac:dyDescent="0.2">
      <c r="A46" s="1" t="s">
        <v>125</v>
      </c>
      <c r="B46" s="1" t="s">
        <v>126</v>
      </c>
      <c r="C46" s="12">
        <v>149997</v>
      </c>
    </row>
    <row r="47" spans="1:3" x14ac:dyDescent="0.2">
      <c r="A47" s="1" t="s">
        <v>127</v>
      </c>
      <c r="B47" s="1" t="s">
        <v>20</v>
      </c>
      <c r="C47" s="12">
        <v>1799.1</v>
      </c>
    </row>
    <row r="48" spans="1:3" x14ac:dyDescent="0.2">
      <c r="A48" s="1" t="s">
        <v>129</v>
      </c>
      <c r="B48" s="1" t="s">
        <v>105</v>
      </c>
      <c r="C48" s="12">
        <v>35992.800000000003</v>
      </c>
    </row>
    <row r="49" spans="1:3" x14ac:dyDescent="0.2">
      <c r="A49" s="1" t="s">
        <v>131</v>
      </c>
      <c r="B49" s="1" t="s">
        <v>75</v>
      </c>
      <c r="C49" s="12">
        <v>6372.45</v>
      </c>
    </row>
    <row r="50" spans="1:3" x14ac:dyDescent="0.2">
      <c r="A50" s="1" t="s">
        <v>132</v>
      </c>
      <c r="B50" s="1" t="s">
        <v>75</v>
      </c>
      <c r="C50" s="12">
        <v>9872.4</v>
      </c>
    </row>
    <row r="51" spans="1:3" x14ac:dyDescent="0.2">
      <c r="A51" s="1" t="s">
        <v>133</v>
      </c>
      <c r="B51" s="1" t="s">
        <v>82</v>
      </c>
      <c r="C51" s="12">
        <v>14396.4</v>
      </c>
    </row>
    <row r="52" spans="1:3" x14ac:dyDescent="0.2">
      <c r="A52" s="1" t="s">
        <v>134</v>
      </c>
      <c r="B52" s="1" t="s">
        <v>32</v>
      </c>
      <c r="C52" s="12">
        <v>22491</v>
      </c>
    </row>
    <row r="53" spans="1:3" x14ac:dyDescent="0.2">
      <c r="A53" s="1" t="s">
        <v>136</v>
      </c>
      <c r="B53" s="1" t="s">
        <v>75</v>
      </c>
      <c r="C53" s="12">
        <v>8998.2000000000007</v>
      </c>
    </row>
    <row r="54" spans="1:3" x14ac:dyDescent="0.2">
      <c r="A54" s="1" t="s">
        <v>138</v>
      </c>
      <c r="B54" s="1" t="s">
        <v>27</v>
      </c>
      <c r="C54" s="12">
        <v>8991</v>
      </c>
    </row>
    <row r="55" spans="1:3" x14ac:dyDescent="0.2">
      <c r="A55" s="1" t="s">
        <v>139</v>
      </c>
      <c r="B55" s="1" t="s">
        <v>97</v>
      </c>
      <c r="C55" s="12">
        <v>2094.75</v>
      </c>
    </row>
    <row r="56" spans="1:3" x14ac:dyDescent="0.2">
      <c r="A56" s="1" t="s">
        <v>140</v>
      </c>
      <c r="B56" s="1" t="s">
        <v>36</v>
      </c>
      <c r="C56" s="12">
        <v>22495.5</v>
      </c>
    </row>
    <row r="57" spans="1:3" x14ac:dyDescent="0.2">
      <c r="A57" s="1" t="s">
        <v>141</v>
      </c>
      <c r="B57" s="1" t="s">
        <v>82</v>
      </c>
      <c r="C57" s="12">
        <v>20994.75</v>
      </c>
    </row>
    <row r="58" spans="1:3" x14ac:dyDescent="0.2">
      <c r="A58" s="1" t="s">
        <v>143</v>
      </c>
      <c r="B58" s="1" t="s">
        <v>44</v>
      </c>
      <c r="C58" s="12">
        <v>1799.1</v>
      </c>
    </row>
    <row r="59" spans="1:3" x14ac:dyDescent="0.2">
      <c r="A59" s="1" t="s">
        <v>145</v>
      </c>
      <c r="B59" s="1" t="s">
        <v>44</v>
      </c>
      <c r="C59" s="12">
        <v>59994</v>
      </c>
    </row>
    <row r="60" spans="1:3" x14ac:dyDescent="0.2">
      <c r="A60" s="1" t="s">
        <v>147</v>
      </c>
      <c r="B60" s="1" t="s">
        <v>123</v>
      </c>
      <c r="C60" s="12">
        <v>22491</v>
      </c>
    </row>
    <row r="61" spans="1:3" x14ac:dyDescent="0.2">
      <c r="A61" s="1" t="s">
        <v>148</v>
      </c>
      <c r="B61" s="1" t="s">
        <v>82</v>
      </c>
      <c r="C61" s="12">
        <v>284.05</v>
      </c>
    </row>
    <row r="62" spans="1:3" x14ac:dyDescent="0.2">
      <c r="A62" s="1" t="s">
        <v>150</v>
      </c>
      <c r="B62" s="1" t="s">
        <v>61</v>
      </c>
      <c r="C62" s="12">
        <v>7492.5</v>
      </c>
    </row>
    <row r="63" spans="1:3" x14ac:dyDescent="0.2">
      <c r="A63" s="1" t="s">
        <v>151</v>
      </c>
      <c r="B63" s="1" t="s">
        <v>49</v>
      </c>
      <c r="C63" s="12">
        <v>424.15</v>
      </c>
    </row>
    <row r="64" spans="1:3" x14ac:dyDescent="0.2">
      <c r="A64" s="1" t="s">
        <v>152</v>
      </c>
      <c r="B64" s="1" t="s">
        <v>88</v>
      </c>
      <c r="C64" s="12">
        <v>1696.6</v>
      </c>
    </row>
    <row r="65" spans="1:3" x14ac:dyDescent="0.2">
      <c r="A65" s="1" t="s">
        <v>153</v>
      </c>
      <c r="B65" s="1" t="s">
        <v>88</v>
      </c>
      <c r="C65" s="12">
        <v>212491.5</v>
      </c>
    </row>
    <row r="66" spans="1:3" x14ac:dyDescent="0.2">
      <c r="A66" s="1" t="s">
        <v>154</v>
      </c>
      <c r="B66" s="1" t="s">
        <v>75</v>
      </c>
      <c r="C66" s="12">
        <v>4796.8</v>
      </c>
    </row>
    <row r="67" spans="1:3" x14ac:dyDescent="0.2">
      <c r="A67" s="1" t="s">
        <v>155</v>
      </c>
      <c r="B67" s="1" t="s">
        <v>459</v>
      </c>
      <c r="C67" s="12">
        <v>5845.5</v>
      </c>
    </row>
    <row r="68" spans="1:3" x14ac:dyDescent="0.2">
      <c r="A68" s="1" t="s">
        <v>157</v>
      </c>
      <c r="B68" s="1" t="s">
        <v>20</v>
      </c>
      <c r="C68" s="12">
        <v>11997</v>
      </c>
    </row>
    <row r="69" spans="1:3" x14ac:dyDescent="0.2">
      <c r="A69" s="1" t="s">
        <v>158</v>
      </c>
      <c r="B69" s="1" t="s">
        <v>105</v>
      </c>
      <c r="C69" s="12">
        <v>254994.9</v>
      </c>
    </row>
    <row r="70" spans="1:3" x14ac:dyDescent="0.2">
      <c r="A70" s="1" t="s">
        <v>159</v>
      </c>
      <c r="B70" s="1" t="s">
        <v>105</v>
      </c>
      <c r="C70" s="12">
        <v>3399.15</v>
      </c>
    </row>
    <row r="71" spans="1:3" x14ac:dyDescent="0.2">
      <c r="A71" s="1" t="s">
        <v>160</v>
      </c>
      <c r="B71" s="1" t="s">
        <v>82</v>
      </c>
      <c r="C71" s="12">
        <v>9937.35</v>
      </c>
    </row>
    <row r="72" spans="1:3" x14ac:dyDescent="0.2">
      <c r="A72" s="1" t="s">
        <v>161</v>
      </c>
      <c r="B72" s="1" t="s">
        <v>97</v>
      </c>
      <c r="C72" s="12">
        <v>17995.5</v>
      </c>
    </row>
    <row r="73" spans="1:3" x14ac:dyDescent="0.2">
      <c r="A73" s="1" t="s">
        <v>163</v>
      </c>
      <c r="B73" s="1" t="s">
        <v>115</v>
      </c>
      <c r="C73" s="12">
        <v>1990</v>
      </c>
    </row>
    <row r="74" spans="1:3" x14ac:dyDescent="0.2">
      <c r="A74" s="1" t="s">
        <v>164</v>
      </c>
      <c r="B74" s="1" t="s">
        <v>69</v>
      </c>
      <c r="C74" s="12">
        <v>16618.349999999999</v>
      </c>
    </row>
    <row r="75" spans="1:3" x14ac:dyDescent="0.2">
      <c r="A75" s="1" t="s">
        <v>166</v>
      </c>
      <c r="B75" s="1" t="s">
        <v>36</v>
      </c>
      <c r="C75" s="12">
        <v>1695.75</v>
      </c>
    </row>
    <row r="76" spans="1:3" x14ac:dyDescent="0.2">
      <c r="A76" s="1" t="s">
        <v>167</v>
      </c>
      <c r="B76" s="1" t="s">
        <v>41</v>
      </c>
      <c r="C76" s="12">
        <v>598</v>
      </c>
    </row>
    <row r="77" spans="1:3" x14ac:dyDescent="0.2">
      <c r="A77" s="1" t="s">
        <v>168</v>
      </c>
      <c r="B77" s="1" t="s">
        <v>126</v>
      </c>
      <c r="C77" s="12">
        <v>33747.75</v>
      </c>
    </row>
    <row r="78" spans="1:3" x14ac:dyDescent="0.2">
      <c r="A78" s="1" t="s">
        <v>169</v>
      </c>
      <c r="B78" s="1" t="s">
        <v>105</v>
      </c>
      <c r="C78" s="12">
        <v>1422.15</v>
      </c>
    </row>
    <row r="79" spans="1:3" x14ac:dyDescent="0.2">
      <c r="A79" s="1" t="s">
        <v>171</v>
      </c>
      <c r="B79" s="1" t="s">
        <v>44</v>
      </c>
      <c r="C79" s="12">
        <v>20994.75</v>
      </c>
    </row>
    <row r="80" spans="1:3" x14ac:dyDescent="0.2">
      <c r="A80" s="1" t="s">
        <v>172</v>
      </c>
      <c r="B80" s="1" t="s">
        <v>44</v>
      </c>
      <c r="C80" s="12">
        <v>1996</v>
      </c>
    </row>
    <row r="81" spans="1:3" x14ac:dyDescent="0.2">
      <c r="A81" s="1" t="s">
        <v>173</v>
      </c>
      <c r="B81" s="1" t="s">
        <v>20</v>
      </c>
      <c r="C81" s="12">
        <v>22491</v>
      </c>
    </row>
    <row r="82" spans="1:3" x14ac:dyDescent="0.2">
      <c r="A82" s="1" t="s">
        <v>174</v>
      </c>
      <c r="B82" s="1" t="s">
        <v>13</v>
      </c>
      <c r="C82" s="12">
        <v>4073.2</v>
      </c>
    </row>
    <row r="83" spans="1:3" x14ac:dyDescent="0.2">
      <c r="A83" s="1" t="s">
        <v>176</v>
      </c>
      <c r="B83" s="1" t="s">
        <v>32</v>
      </c>
      <c r="C83" s="12">
        <v>9443.7000000000007</v>
      </c>
    </row>
    <row r="84" spans="1:3" x14ac:dyDescent="0.2">
      <c r="A84" s="1" t="s">
        <v>178</v>
      </c>
      <c r="B84" s="1" t="s">
        <v>32</v>
      </c>
      <c r="C84" s="12">
        <v>35991</v>
      </c>
    </row>
    <row r="85" spans="1:3" x14ac:dyDescent="0.2">
      <c r="A85" s="1" t="s">
        <v>179</v>
      </c>
      <c r="B85" s="1" t="s">
        <v>36</v>
      </c>
      <c r="C85" s="12">
        <v>8094.6</v>
      </c>
    </row>
    <row r="86" spans="1:3" x14ac:dyDescent="0.2">
      <c r="A86" s="1" t="s">
        <v>180</v>
      </c>
      <c r="B86" s="1" t="s">
        <v>32</v>
      </c>
      <c r="C86" s="12">
        <v>1516.2</v>
      </c>
    </row>
    <row r="87" spans="1:3" x14ac:dyDescent="0.2">
      <c r="A87" s="1" t="s">
        <v>181</v>
      </c>
      <c r="B87" s="1" t="s">
        <v>20</v>
      </c>
      <c r="C87" s="12">
        <v>79992</v>
      </c>
    </row>
    <row r="88" spans="1:3" x14ac:dyDescent="0.2">
      <c r="A88" s="1" t="s">
        <v>182</v>
      </c>
      <c r="B88" s="1" t="s">
        <v>183</v>
      </c>
      <c r="C88" s="12">
        <v>25491.5</v>
      </c>
    </row>
    <row r="89" spans="1:3" x14ac:dyDescent="0.2">
      <c r="A89" s="1" t="s">
        <v>184</v>
      </c>
      <c r="B89" s="1" t="s">
        <v>78</v>
      </c>
      <c r="C89" s="12">
        <v>10792.8</v>
      </c>
    </row>
    <row r="90" spans="1:3" x14ac:dyDescent="0.2">
      <c r="A90" s="1" t="s">
        <v>185</v>
      </c>
      <c r="B90" s="1" t="s">
        <v>13</v>
      </c>
      <c r="C90" s="12">
        <v>6831.45</v>
      </c>
    </row>
    <row r="91" spans="1:3" x14ac:dyDescent="0.2">
      <c r="A91" s="1" t="s">
        <v>186</v>
      </c>
      <c r="B91" s="1" t="s">
        <v>32</v>
      </c>
      <c r="C91" s="12">
        <v>7596.2</v>
      </c>
    </row>
    <row r="92" spans="1:3" x14ac:dyDescent="0.2">
      <c r="A92" s="1" t="s">
        <v>187</v>
      </c>
      <c r="B92" s="1" t="s">
        <v>82</v>
      </c>
      <c r="C92" s="12">
        <v>239.2</v>
      </c>
    </row>
    <row r="93" spans="1:3" x14ac:dyDescent="0.2">
      <c r="A93" s="1" t="s">
        <v>189</v>
      </c>
      <c r="B93" s="1" t="s">
        <v>115</v>
      </c>
      <c r="C93" s="12">
        <v>16991.5</v>
      </c>
    </row>
    <row r="94" spans="1:3" x14ac:dyDescent="0.2">
      <c r="A94" s="1" t="s">
        <v>190</v>
      </c>
      <c r="B94" s="1" t="s">
        <v>36</v>
      </c>
      <c r="C94" s="12">
        <v>3992</v>
      </c>
    </row>
    <row r="95" spans="1:3" x14ac:dyDescent="0.2">
      <c r="A95" s="1" t="s">
        <v>191</v>
      </c>
      <c r="B95" s="1" t="s">
        <v>61</v>
      </c>
      <c r="C95" s="12">
        <v>5997</v>
      </c>
    </row>
    <row r="96" spans="1:3" x14ac:dyDescent="0.2">
      <c r="A96" s="1" t="s">
        <v>192</v>
      </c>
      <c r="B96" s="1" t="s">
        <v>20</v>
      </c>
      <c r="C96" s="12">
        <v>59494.05</v>
      </c>
    </row>
    <row r="97" spans="1:3" x14ac:dyDescent="0.2">
      <c r="A97" s="1" t="s">
        <v>193</v>
      </c>
      <c r="B97" s="1" t="s">
        <v>97</v>
      </c>
      <c r="C97" s="12">
        <v>1498.5</v>
      </c>
    </row>
    <row r="98" spans="1:3" x14ac:dyDescent="0.2">
      <c r="A98" s="1" t="s">
        <v>194</v>
      </c>
      <c r="B98" s="1" t="s">
        <v>61</v>
      </c>
      <c r="C98" s="12">
        <v>3411.45</v>
      </c>
    </row>
    <row r="99" spans="1:3" x14ac:dyDescent="0.2">
      <c r="A99" s="1" t="s">
        <v>195</v>
      </c>
      <c r="B99" s="1" t="s">
        <v>69</v>
      </c>
      <c r="C99" s="12">
        <v>1169.0999999999999</v>
      </c>
    </row>
    <row r="100" spans="1:3" x14ac:dyDescent="0.2">
      <c r="A100" s="1" t="s">
        <v>196</v>
      </c>
      <c r="B100" s="1" t="s">
        <v>69</v>
      </c>
      <c r="C100" s="12">
        <v>8491.5</v>
      </c>
    </row>
    <row r="101" spans="1:3" x14ac:dyDescent="0.2">
      <c r="A101" s="1" t="s">
        <v>197</v>
      </c>
      <c r="B101" s="1" t="s">
        <v>183</v>
      </c>
      <c r="C101" s="12">
        <v>568.1</v>
      </c>
    </row>
    <row r="102" spans="1:3" x14ac:dyDescent="0.2">
      <c r="A102" s="1" t="s">
        <v>198</v>
      </c>
      <c r="B102" s="1" t="s">
        <v>44</v>
      </c>
      <c r="C102" s="12">
        <v>11994</v>
      </c>
    </row>
    <row r="103" spans="1:3" x14ac:dyDescent="0.2">
      <c r="A103" s="1" t="s">
        <v>199</v>
      </c>
      <c r="B103" s="1" t="s">
        <v>88</v>
      </c>
      <c r="C103" s="12">
        <v>508.3</v>
      </c>
    </row>
    <row r="104" spans="1:3" x14ac:dyDescent="0.2">
      <c r="A104" s="1" t="s">
        <v>200</v>
      </c>
      <c r="B104" s="1" t="s">
        <v>32</v>
      </c>
      <c r="C104" s="12">
        <v>1492.5</v>
      </c>
    </row>
    <row r="105" spans="1:3" x14ac:dyDescent="0.2">
      <c r="A105" s="1" t="s">
        <v>201</v>
      </c>
      <c r="B105" s="1" t="s">
        <v>41</v>
      </c>
      <c r="C105" s="12">
        <v>11392.4</v>
      </c>
    </row>
    <row r="106" spans="1:3" x14ac:dyDescent="0.2">
      <c r="A106" s="1" t="s">
        <v>203</v>
      </c>
      <c r="B106" s="1" t="s">
        <v>123</v>
      </c>
      <c r="C106" s="12">
        <v>15743.7</v>
      </c>
    </row>
    <row r="107" spans="1:3" x14ac:dyDescent="0.2">
      <c r="A107" s="1" t="s">
        <v>204</v>
      </c>
      <c r="B107" s="1" t="s">
        <v>36</v>
      </c>
      <c r="C107" s="12">
        <v>349993</v>
      </c>
    </row>
    <row r="108" spans="1:3" x14ac:dyDescent="0.2">
      <c r="A108" s="1" t="s">
        <v>205</v>
      </c>
      <c r="B108" s="1" t="s">
        <v>36</v>
      </c>
      <c r="C108" s="12">
        <v>174993</v>
      </c>
    </row>
    <row r="109" spans="1:3" x14ac:dyDescent="0.2">
      <c r="A109" s="1" t="s">
        <v>206</v>
      </c>
      <c r="B109" s="1" t="s">
        <v>97</v>
      </c>
      <c r="C109" s="12">
        <v>67495.5</v>
      </c>
    </row>
    <row r="110" spans="1:3" x14ac:dyDescent="0.2">
      <c r="A110" s="1" t="s">
        <v>207</v>
      </c>
      <c r="B110" s="1" t="s">
        <v>105</v>
      </c>
      <c r="C110" s="12">
        <v>119992</v>
      </c>
    </row>
    <row r="111" spans="1:3" x14ac:dyDescent="0.2">
      <c r="A111" s="1" t="s">
        <v>208</v>
      </c>
      <c r="B111" s="1" t="s">
        <v>27</v>
      </c>
      <c r="C111" s="12">
        <v>1432.8</v>
      </c>
    </row>
    <row r="112" spans="1:3" x14ac:dyDescent="0.2">
      <c r="A112" s="1" t="s">
        <v>209</v>
      </c>
      <c r="B112" s="1" t="s">
        <v>183</v>
      </c>
      <c r="C112" s="12">
        <v>33747.75</v>
      </c>
    </row>
    <row r="113" spans="1:3" x14ac:dyDescent="0.2">
      <c r="A113" s="1" t="s">
        <v>210</v>
      </c>
      <c r="B113" s="1" t="s">
        <v>457</v>
      </c>
      <c r="C113" s="12">
        <v>31996.799999999999</v>
      </c>
    </row>
    <row r="114" spans="1:3" x14ac:dyDescent="0.2">
      <c r="A114" s="1" t="s">
        <v>211</v>
      </c>
      <c r="B114" s="1" t="s">
        <v>105</v>
      </c>
      <c r="C114" s="12">
        <v>22495.5</v>
      </c>
    </row>
    <row r="115" spans="1:3" x14ac:dyDescent="0.2">
      <c r="A115" s="1" t="s">
        <v>213</v>
      </c>
      <c r="B115" s="1" t="s">
        <v>126</v>
      </c>
      <c r="C115" s="12">
        <v>142490.5</v>
      </c>
    </row>
    <row r="116" spans="1:3" x14ac:dyDescent="0.2">
      <c r="A116" s="1" t="s">
        <v>214</v>
      </c>
      <c r="B116" s="1" t="s">
        <v>123</v>
      </c>
      <c r="C116" s="12">
        <v>30592.35</v>
      </c>
    </row>
    <row r="117" spans="1:3" x14ac:dyDescent="0.2">
      <c r="A117" s="1" t="s">
        <v>216</v>
      </c>
      <c r="B117" s="1" t="s">
        <v>183</v>
      </c>
      <c r="C117" s="12">
        <v>1883.7</v>
      </c>
    </row>
    <row r="118" spans="1:3" x14ac:dyDescent="0.2">
      <c r="A118" s="1" t="s">
        <v>217</v>
      </c>
      <c r="B118" s="1" t="s">
        <v>49</v>
      </c>
      <c r="C118" s="12">
        <v>479.2</v>
      </c>
    </row>
    <row r="119" spans="1:3" x14ac:dyDescent="0.2">
      <c r="A119" s="1" t="s">
        <v>218</v>
      </c>
      <c r="B119" s="1" t="s">
        <v>13</v>
      </c>
      <c r="C119" s="12">
        <v>1194</v>
      </c>
    </row>
    <row r="120" spans="1:3" x14ac:dyDescent="0.2">
      <c r="A120" s="1" t="s">
        <v>220</v>
      </c>
      <c r="B120" s="1" t="s">
        <v>115</v>
      </c>
      <c r="C120" s="12">
        <v>17995.5</v>
      </c>
    </row>
    <row r="121" spans="1:3" x14ac:dyDescent="0.2">
      <c r="A121" s="1" t="s">
        <v>221</v>
      </c>
      <c r="B121" s="1" t="s">
        <v>20</v>
      </c>
      <c r="C121" s="12">
        <v>399992</v>
      </c>
    </row>
    <row r="122" spans="1:3" x14ac:dyDescent="0.2">
      <c r="A122" s="1" t="s">
        <v>222</v>
      </c>
      <c r="B122" s="1" t="s">
        <v>183</v>
      </c>
      <c r="C122" s="12">
        <v>9998</v>
      </c>
    </row>
    <row r="123" spans="1:3" x14ac:dyDescent="0.2">
      <c r="A123" s="1" t="s">
        <v>223</v>
      </c>
      <c r="B123" s="1" t="s">
        <v>75</v>
      </c>
      <c r="C123" s="12">
        <v>1614.6</v>
      </c>
    </row>
    <row r="124" spans="1:3" x14ac:dyDescent="0.2">
      <c r="A124" s="1" t="s">
        <v>224</v>
      </c>
      <c r="B124" s="1" t="s">
        <v>97</v>
      </c>
      <c r="C124" s="12">
        <v>5313.35</v>
      </c>
    </row>
    <row r="125" spans="1:3" x14ac:dyDescent="0.2">
      <c r="A125" s="1" t="s">
        <v>225</v>
      </c>
      <c r="B125" s="1" t="s">
        <v>27</v>
      </c>
      <c r="C125" s="12">
        <v>5690.5</v>
      </c>
    </row>
    <row r="126" spans="1:3" x14ac:dyDescent="0.2">
      <c r="A126" s="1" t="s">
        <v>226</v>
      </c>
      <c r="B126" s="1" t="s">
        <v>32</v>
      </c>
      <c r="C126" s="12">
        <v>8999.1</v>
      </c>
    </row>
    <row r="127" spans="1:3" x14ac:dyDescent="0.2">
      <c r="A127" s="1" t="s">
        <v>228</v>
      </c>
      <c r="B127" s="1" t="s">
        <v>458</v>
      </c>
      <c r="C127" s="12">
        <v>18746.25</v>
      </c>
    </row>
    <row r="128" spans="1:3" x14ac:dyDescent="0.2">
      <c r="A128" s="1" t="s">
        <v>229</v>
      </c>
      <c r="B128" s="1" t="s">
        <v>82</v>
      </c>
      <c r="C128" s="12">
        <v>2208.3000000000002</v>
      </c>
    </row>
    <row r="129" spans="1:3" x14ac:dyDescent="0.2">
      <c r="A129" s="1" t="s">
        <v>230</v>
      </c>
      <c r="B129" s="1" t="s">
        <v>44</v>
      </c>
      <c r="C129" s="12">
        <v>10493</v>
      </c>
    </row>
    <row r="130" spans="1:3" x14ac:dyDescent="0.2">
      <c r="A130" s="1" t="s">
        <v>231</v>
      </c>
      <c r="B130" s="1" t="s">
        <v>41</v>
      </c>
      <c r="C130" s="12">
        <v>11396.2</v>
      </c>
    </row>
    <row r="131" spans="1:3" x14ac:dyDescent="0.2">
      <c r="A131" s="1" t="s">
        <v>232</v>
      </c>
      <c r="B131" s="1" t="s">
        <v>32</v>
      </c>
      <c r="C131" s="12">
        <v>1699.15</v>
      </c>
    </row>
    <row r="132" spans="1:3" x14ac:dyDescent="0.2">
      <c r="A132" s="1" t="s">
        <v>233</v>
      </c>
      <c r="B132" s="1" t="s">
        <v>78</v>
      </c>
      <c r="C132" s="12">
        <v>28494.3</v>
      </c>
    </row>
    <row r="133" spans="1:3" x14ac:dyDescent="0.2">
      <c r="A133" s="1" t="s">
        <v>234</v>
      </c>
      <c r="B133" s="1" t="s">
        <v>20</v>
      </c>
      <c r="C133" s="12">
        <v>67495.5</v>
      </c>
    </row>
    <row r="134" spans="1:3" x14ac:dyDescent="0.2">
      <c r="A134" s="1" t="s">
        <v>235</v>
      </c>
      <c r="B134" s="1" t="s">
        <v>69</v>
      </c>
      <c r="C134" s="12">
        <v>314993.7</v>
      </c>
    </row>
    <row r="135" spans="1:3" x14ac:dyDescent="0.2">
      <c r="A135" s="1" t="s">
        <v>236</v>
      </c>
      <c r="B135" s="1" t="s">
        <v>126</v>
      </c>
      <c r="C135" s="12">
        <v>7195.2</v>
      </c>
    </row>
    <row r="136" spans="1:3" x14ac:dyDescent="0.2">
      <c r="A136" s="1" t="s">
        <v>237</v>
      </c>
      <c r="B136" s="1" t="s">
        <v>78</v>
      </c>
      <c r="C136" s="12">
        <v>44999.1</v>
      </c>
    </row>
    <row r="137" spans="1:3" x14ac:dyDescent="0.2">
      <c r="A137" s="1" t="s">
        <v>238</v>
      </c>
      <c r="B137" s="1" t="s">
        <v>61</v>
      </c>
      <c r="C137" s="12">
        <v>3318.35</v>
      </c>
    </row>
    <row r="138" spans="1:3" x14ac:dyDescent="0.2">
      <c r="A138" s="1" t="s">
        <v>239</v>
      </c>
      <c r="B138" s="1" t="s">
        <v>82</v>
      </c>
      <c r="C138" s="12">
        <v>189996.2</v>
      </c>
    </row>
    <row r="139" spans="1:3" x14ac:dyDescent="0.2">
      <c r="A139" s="1" t="s">
        <v>240</v>
      </c>
      <c r="B139" s="1" t="s">
        <v>78</v>
      </c>
      <c r="C139" s="12">
        <v>11247.75</v>
      </c>
    </row>
    <row r="140" spans="1:3" x14ac:dyDescent="0.2">
      <c r="A140" s="1" t="s">
        <v>241</v>
      </c>
      <c r="B140" s="1" t="s">
        <v>27</v>
      </c>
      <c r="C140" s="12">
        <v>5094.8999999999996</v>
      </c>
    </row>
    <row r="141" spans="1:3" x14ac:dyDescent="0.2">
      <c r="A141" s="1" t="s">
        <v>242</v>
      </c>
      <c r="B141" s="1" t="s">
        <v>78</v>
      </c>
      <c r="C141" s="12">
        <v>1524.9</v>
      </c>
    </row>
    <row r="142" spans="1:3" x14ac:dyDescent="0.2">
      <c r="A142" s="1" t="s">
        <v>243</v>
      </c>
      <c r="B142" s="1" t="s">
        <v>13</v>
      </c>
      <c r="C142" s="12">
        <v>796</v>
      </c>
    </row>
    <row r="143" spans="1:3" x14ac:dyDescent="0.2">
      <c r="A143" s="1" t="s">
        <v>244</v>
      </c>
      <c r="B143" s="1" t="s">
        <v>115</v>
      </c>
      <c r="C143" s="12">
        <v>7192.8</v>
      </c>
    </row>
    <row r="144" spans="1:3" x14ac:dyDescent="0.2">
      <c r="A144" s="1" t="s">
        <v>245</v>
      </c>
      <c r="B144" s="1" t="s">
        <v>36</v>
      </c>
      <c r="C144" s="12">
        <v>1437.6</v>
      </c>
    </row>
    <row r="145" spans="1:3" x14ac:dyDescent="0.2">
      <c r="A145" s="1" t="s">
        <v>246</v>
      </c>
      <c r="B145" s="1" t="s">
        <v>13</v>
      </c>
      <c r="C145" s="12">
        <v>6235.2</v>
      </c>
    </row>
    <row r="146" spans="1:3" x14ac:dyDescent="0.2">
      <c r="A146" s="1" t="s">
        <v>247</v>
      </c>
      <c r="B146" s="1" t="s">
        <v>75</v>
      </c>
      <c r="C146" s="12">
        <v>174993</v>
      </c>
    </row>
    <row r="147" spans="1:3" x14ac:dyDescent="0.2">
      <c r="A147" s="1" t="s">
        <v>248</v>
      </c>
      <c r="B147" s="1" t="s">
        <v>69</v>
      </c>
      <c r="C147" s="12">
        <v>9352.7999999999993</v>
      </c>
    </row>
    <row r="148" spans="1:3" x14ac:dyDescent="0.2">
      <c r="A148" s="1" t="s">
        <v>249</v>
      </c>
      <c r="B148" s="1" t="s">
        <v>88</v>
      </c>
      <c r="C148" s="12">
        <v>254.15</v>
      </c>
    </row>
    <row r="149" spans="1:3" x14ac:dyDescent="0.2">
      <c r="A149" s="1" t="s">
        <v>250</v>
      </c>
      <c r="B149" s="1" t="s">
        <v>13</v>
      </c>
      <c r="C149" s="12">
        <v>3998.4</v>
      </c>
    </row>
    <row r="150" spans="1:3" x14ac:dyDescent="0.2">
      <c r="A150" s="1" t="s">
        <v>251</v>
      </c>
      <c r="B150" s="1" t="s">
        <v>115</v>
      </c>
      <c r="C150" s="12">
        <v>224991</v>
      </c>
    </row>
    <row r="151" spans="1:3" x14ac:dyDescent="0.2">
      <c r="A151" s="1" t="s">
        <v>252</v>
      </c>
      <c r="B151" s="1" t="s">
        <v>27</v>
      </c>
      <c r="C151" s="12">
        <v>74998.5</v>
      </c>
    </row>
    <row r="152" spans="1:3" x14ac:dyDescent="0.2">
      <c r="A152" s="1" t="s">
        <v>253</v>
      </c>
      <c r="B152" s="1" t="s">
        <v>69</v>
      </c>
      <c r="C152" s="12">
        <v>27193.200000000001</v>
      </c>
    </row>
    <row r="153" spans="1:3" x14ac:dyDescent="0.2">
      <c r="A153" s="1" t="s">
        <v>255</v>
      </c>
      <c r="B153" s="1" t="s">
        <v>97</v>
      </c>
      <c r="C153" s="12">
        <v>44997</v>
      </c>
    </row>
    <row r="154" spans="1:3" x14ac:dyDescent="0.2">
      <c r="A154" s="1" t="s">
        <v>256</v>
      </c>
      <c r="B154" s="1" t="s">
        <v>61</v>
      </c>
      <c r="C154" s="12">
        <v>2875.2</v>
      </c>
    </row>
    <row r="155" spans="1:3" x14ac:dyDescent="0.2">
      <c r="A155" s="1" t="s">
        <v>257</v>
      </c>
      <c r="B155" s="1" t="s">
        <v>20</v>
      </c>
      <c r="C155" s="12">
        <v>8998.2000000000007</v>
      </c>
    </row>
    <row r="156" spans="1:3" x14ac:dyDescent="0.2">
      <c r="A156" s="1" t="s">
        <v>258</v>
      </c>
      <c r="B156" s="1" t="s">
        <v>82</v>
      </c>
      <c r="C156" s="12">
        <v>47498.1</v>
      </c>
    </row>
    <row r="157" spans="1:3" x14ac:dyDescent="0.2">
      <c r="A157" s="1" t="s">
        <v>259</v>
      </c>
      <c r="B157" s="1" t="s">
        <v>123</v>
      </c>
      <c r="C157" s="12">
        <v>26991</v>
      </c>
    </row>
    <row r="158" spans="1:3" x14ac:dyDescent="0.2">
      <c r="A158" s="1" t="s">
        <v>260</v>
      </c>
      <c r="B158" s="1" t="s">
        <v>183</v>
      </c>
      <c r="C158" s="12">
        <v>945.25</v>
      </c>
    </row>
    <row r="159" spans="1:3" x14ac:dyDescent="0.2">
      <c r="A159" s="1" t="s">
        <v>261</v>
      </c>
      <c r="B159" s="1" t="s">
        <v>82</v>
      </c>
      <c r="C159" s="12">
        <v>1437.6</v>
      </c>
    </row>
    <row r="160" spans="1:3" x14ac:dyDescent="0.2">
      <c r="A160" s="1" t="s">
        <v>262</v>
      </c>
      <c r="B160" s="1" t="s">
        <v>115</v>
      </c>
      <c r="C160" s="12">
        <v>7642.35</v>
      </c>
    </row>
    <row r="161" spans="1:3" x14ac:dyDescent="0.2">
      <c r="A161" s="1" t="s">
        <v>263</v>
      </c>
      <c r="B161" s="1" t="s">
        <v>36</v>
      </c>
      <c r="C161" s="12">
        <v>2394</v>
      </c>
    </row>
    <row r="162" spans="1:3" x14ac:dyDescent="0.2">
      <c r="A162" s="1" t="s">
        <v>264</v>
      </c>
      <c r="B162" s="1" t="s">
        <v>27</v>
      </c>
      <c r="C162" s="12">
        <v>33993.199999999997</v>
      </c>
    </row>
    <row r="163" spans="1:3" x14ac:dyDescent="0.2">
      <c r="A163" s="1" t="s">
        <v>265</v>
      </c>
      <c r="B163" s="1" t="s">
        <v>97</v>
      </c>
      <c r="C163" s="12">
        <v>5098.3</v>
      </c>
    </row>
    <row r="164" spans="1:3" x14ac:dyDescent="0.2">
      <c r="A164" s="1" t="s">
        <v>266</v>
      </c>
      <c r="B164" s="1" t="s">
        <v>44</v>
      </c>
      <c r="C164" s="12">
        <v>12796.8</v>
      </c>
    </row>
    <row r="165" spans="1:3" x14ac:dyDescent="0.2">
      <c r="A165" s="1" t="s">
        <v>267</v>
      </c>
      <c r="B165" s="1" t="s">
        <v>105</v>
      </c>
      <c r="C165" s="12">
        <v>8995.5</v>
      </c>
    </row>
    <row r="166" spans="1:3" x14ac:dyDescent="0.2">
      <c r="A166" s="1" t="s">
        <v>268</v>
      </c>
      <c r="B166" s="1" t="s">
        <v>123</v>
      </c>
      <c r="C166" s="12">
        <v>262494.75</v>
      </c>
    </row>
    <row r="167" spans="1:3" x14ac:dyDescent="0.2">
      <c r="A167" s="1" t="s">
        <v>269</v>
      </c>
      <c r="B167" s="1" t="s">
        <v>20</v>
      </c>
      <c r="C167" s="12">
        <v>4999</v>
      </c>
    </row>
    <row r="168" spans="1:3" x14ac:dyDescent="0.2">
      <c r="A168" s="1" t="s">
        <v>270</v>
      </c>
      <c r="B168" s="1" t="s">
        <v>36</v>
      </c>
      <c r="C168" s="12">
        <v>31493.7</v>
      </c>
    </row>
    <row r="169" spans="1:3" x14ac:dyDescent="0.2">
      <c r="A169" s="1" t="s">
        <v>271</v>
      </c>
      <c r="B169" s="1" t="s">
        <v>126</v>
      </c>
      <c r="C169" s="12">
        <v>23992</v>
      </c>
    </row>
    <row r="170" spans="1:3" x14ac:dyDescent="0.2">
      <c r="A170" s="1" t="s">
        <v>272</v>
      </c>
      <c r="B170" s="1" t="s">
        <v>183</v>
      </c>
      <c r="C170" s="12">
        <v>7198.2</v>
      </c>
    </row>
    <row r="171" spans="1:3" x14ac:dyDescent="0.2">
      <c r="A171" s="1" t="s">
        <v>273</v>
      </c>
      <c r="B171" s="1" t="s">
        <v>36</v>
      </c>
      <c r="C171" s="12">
        <v>39998.400000000001</v>
      </c>
    </row>
    <row r="172" spans="1:3" x14ac:dyDescent="0.2">
      <c r="A172" s="1" t="s">
        <v>274</v>
      </c>
      <c r="B172" s="1" t="s">
        <v>78</v>
      </c>
      <c r="C172" s="12">
        <v>4272.1499999999996</v>
      </c>
    </row>
    <row r="173" spans="1:3" x14ac:dyDescent="0.2">
      <c r="A173" s="1" t="s">
        <v>275</v>
      </c>
      <c r="B173" s="1" t="s">
        <v>115</v>
      </c>
      <c r="C173" s="12">
        <v>63993.599999999999</v>
      </c>
    </row>
    <row r="174" spans="1:3" x14ac:dyDescent="0.2">
      <c r="A174" s="1" t="s">
        <v>276</v>
      </c>
      <c r="B174" s="1" t="s">
        <v>44</v>
      </c>
      <c r="C174" s="12">
        <v>3054.9</v>
      </c>
    </row>
    <row r="175" spans="1:3" x14ac:dyDescent="0.2">
      <c r="A175" s="1" t="s">
        <v>277</v>
      </c>
      <c r="B175" s="1" t="s">
        <v>69</v>
      </c>
      <c r="C175" s="12">
        <v>2399.1999999999998</v>
      </c>
    </row>
    <row r="176" spans="1:3" x14ac:dyDescent="0.2">
      <c r="A176" s="1" t="s">
        <v>278</v>
      </c>
      <c r="B176" s="1" t="s">
        <v>69</v>
      </c>
      <c r="C176" s="12">
        <v>11994</v>
      </c>
    </row>
    <row r="177" spans="1:3" x14ac:dyDescent="0.2">
      <c r="A177" s="1" t="s">
        <v>279</v>
      </c>
      <c r="B177" s="1" t="s">
        <v>27</v>
      </c>
      <c r="C177" s="12">
        <v>374992.5</v>
      </c>
    </row>
    <row r="178" spans="1:3" x14ac:dyDescent="0.2">
      <c r="A178" s="1" t="s">
        <v>280</v>
      </c>
      <c r="B178" s="1" t="s">
        <v>44</v>
      </c>
      <c r="C178" s="12">
        <v>189992.4</v>
      </c>
    </row>
    <row r="179" spans="1:3" x14ac:dyDescent="0.2">
      <c r="A179" s="1" t="s">
        <v>281</v>
      </c>
      <c r="B179" s="1" t="s">
        <v>13</v>
      </c>
      <c r="C179" s="12">
        <v>852.15</v>
      </c>
    </row>
    <row r="180" spans="1:3" x14ac:dyDescent="0.2">
      <c r="A180" s="1" t="s">
        <v>282</v>
      </c>
      <c r="B180" s="1" t="s">
        <v>88</v>
      </c>
      <c r="C180" s="12">
        <v>10194.9</v>
      </c>
    </row>
    <row r="181" spans="1:3" x14ac:dyDescent="0.2">
      <c r="A181" s="1" t="s">
        <v>283</v>
      </c>
      <c r="B181" s="1" t="s">
        <v>27</v>
      </c>
      <c r="C181" s="12">
        <v>2395.1999999999998</v>
      </c>
    </row>
    <row r="182" spans="1:3" x14ac:dyDescent="0.2">
      <c r="A182" s="1" t="s">
        <v>284</v>
      </c>
      <c r="B182" s="1" t="s">
        <v>32</v>
      </c>
      <c r="C182" s="12">
        <v>1078.2</v>
      </c>
    </row>
    <row r="183" spans="1:3" x14ac:dyDescent="0.2">
      <c r="A183" s="1" t="s">
        <v>285</v>
      </c>
      <c r="B183" s="1" t="s">
        <v>49</v>
      </c>
      <c r="C183" s="12">
        <v>26993.25</v>
      </c>
    </row>
    <row r="184" spans="1:3" x14ac:dyDescent="0.2">
      <c r="A184" s="1" t="s">
        <v>286</v>
      </c>
      <c r="B184" s="1" t="s">
        <v>88</v>
      </c>
      <c r="C184" s="12">
        <v>1074.5999999999999</v>
      </c>
    </row>
    <row r="185" spans="1:3" x14ac:dyDescent="0.2">
      <c r="A185" s="1" t="s">
        <v>287</v>
      </c>
      <c r="B185" s="1" t="s">
        <v>105</v>
      </c>
      <c r="C185" s="12">
        <v>2276.1999999999998</v>
      </c>
    </row>
    <row r="186" spans="1:3" x14ac:dyDescent="0.2">
      <c r="A186" s="1" t="s">
        <v>288</v>
      </c>
      <c r="B186" s="1" t="s">
        <v>13</v>
      </c>
      <c r="C186" s="12">
        <v>2875.2</v>
      </c>
    </row>
    <row r="187" spans="1:3" x14ac:dyDescent="0.2">
      <c r="A187" s="1" t="s">
        <v>290</v>
      </c>
      <c r="B187" s="1" t="s">
        <v>75</v>
      </c>
      <c r="C187" s="12">
        <v>2033.2</v>
      </c>
    </row>
    <row r="188" spans="1:3" x14ac:dyDescent="0.2">
      <c r="A188" s="1" t="s">
        <v>291</v>
      </c>
      <c r="B188" s="1" t="s">
        <v>183</v>
      </c>
      <c r="C188" s="12">
        <v>8313.6</v>
      </c>
    </row>
    <row r="189" spans="1:3" x14ac:dyDescent="0.2">
      <c r="A189" s="1" t="s">
        <v>292</v>
      </c>
      <c r="B189" s="1" t="s">
        <v>123</v>
      </c>
      <c r="C189" s="12">
        <v>84991.5</v>
      </c>
    </row>
    <row r="190" spans="1:3" x14ac:dyDescent="0.2">
      <c r="A190" s="1" t="s">
        <v>293</v>
      </c>
      <c r="B190" s="1" t="s">
        <v>88</v>
      </c>
      <c r="C190" s="12">
        <v>2156.4</v>
      </c>
    </row>
    <row r="191" spans="1:3" x14ac:dyDescent="0.2">
      <c r="A191" s="1" t="s">
        <v>294</v>
      </c>
      <c r="B191" s="1" t="s">
        <v>123</v>
      </c>
      <c r="C191" s="12">
        <v>4041.9</v>
      </c>
    </row>
    <row r="192" spans="1:3" x14ac:dyDescent="0.2">
      <c r="A192" s="1" t="s">
        <v>295</v>
      </c>
      <c r="B192" s="1" t="s">
        <v>32</v>
      </c>
      <c r="C192" s="12">
        <v>2208.3000000000002</v>
      </c>
    </row>
    <row r="193" spans="1:3" x14ac:dyDescent="0.2">
      <c r="A193" s="1" t="s">
        <v>296</v>
      </c>
      <c r="B193" s="1" t="s">
        <v>97</v>
      </c>
      <c r="C193" s="12">
        <v>6624.9</v>
      </c>
    </row>
    <row r="194" spans="1:3" x14ac:dyDescent="0.2">
      <c r="A194" s="1" t="s">
        <v>297</v>
      </c>
      <c r="B194" s="1" t="s">
        <v>183</v>
      </c>
      <c r="C194" s="12">
        <v>3414.3</v>
      </c>
    </row>
    <row r="195" spans="1:3" x14ac:dyDescent="0.2">
      <c r="A195" s="1" t="s">
        <v>298</v>
      </c>
      <c r="B195" s="1" t="s">
        <v>123</v>
      </c>
      <c r="C195" s="12">
        <v>1990</v>
      </c>
    </row>
    <row r="196" spans="1:3" x14ac:dyDescent="0.2">
      <c r="A196" s="1" t="s">
        <v>299</v>
      </c>
      <c r="B196" s="1" t="s">
        <v>105</v>
      </c>
      <c r="C196" s="12">
        <v>5845.5</v>
      </c>
    </row>
    <row r="197" spans="1:3" x14ac:dyDescent="0.2">
      <c r="A197" s="1" t="s">
        <v>300</v>
      </c>
      <c r="B197" s="1" t="s">
        <v>183</v>
      </c>
      <c r="C197" s="12">
        <v>23998.400000000001</v>
      </c>
    </row>
    <row r="198" spans="1:3" x14ac:dyDescent="0.2">
      <c r="A198" s="1" t="s">
        <v>301</v>
      </c>
      <c r="B198" s="1" t="s">
        <v>88</v>
      </c>
      <c r="C198" s="12">
        <v>5097.45</v>
      </c>
    </row>
    <row r="199" spans="1:3" x14ac:dyDescent="0.2">
      <c r="A199" s="1" t="s">
        <v>302</v>
      </c>
      <c r="B199" s="1" t="s">
        <v>78</v>
      </c>
      <c r="C199" s="12">
        <v>44998.2</v>
      </c>
    </row>
    <row r="200" spans="1:3" x14ac:dyDescent="0.2">
      <c r="A200" s="1" t="s">
        <v>303</v>
      </c>
      <c r="B200" s="1" t="s">
        <v>20</v>
      </c>
      <c r="C200" s="12">
        <v>1794</v>
      </c>
    </row>
    <row r="201" spans="1:3" x14ac:dyDescent="0.2">
      <c r="A201" s="1" t="s">
        <v>304</v>
      </c>
      <c r="B201" s="1" t="s">
        <v>32</v>
      </c>
      <c r="C201" s="12">
        <v>5845.5</v>
      </c>
    </row>
    <row r="202" spans="1:3" x14ac:dyDescent="0.2">
      <c r="A202" s="1" t="s">
        <v>305</v>
      </c>
      <c r="B202" s="1" t="s">
        <v>36</v>
      </c>
      <c r="C202" s="12">
        <v>16868.25</v>
      </c>
    </row>
    <row r="203" spans="1:3" x14ac:dyDescent="0.2">
      <c r="A203" s="1" t="s">
        <v>306</v>
      </c>
      <c r="B203" s="1" t="s">
        <v>69</v>
      </c>
      <c r="C203" s="12">
        <v>19998</v>
      </c>
    </row>
    <row r="204" spans="1:3" x14ac:dyDescent="0.2">
      <c r="A204" s="1" t="s">
        <v>307</v>
      </c>
      <c r="B204" s="1" t="s">
        <v>41</v>
      </c>
      <c r="C204" s="12">
        <v>106245.75</v>
      </c>
    </row>
    <row r="205" spans="1:3" x14ac:dyDescent="0.2">
      <c r="A205" s="1" t="s">
        <v>308</v>
      </c>
      <c r="B205" s="1" t="s">
        <v>32</v>
      </c>
      <c r="C205" s="12">
        <v>1345.5</v>
      </c>
    </row>
    <row r="206" spans="1:3" x14ac:dyDescent="0.2">
      <c r="A206" s="1" t="s">
        <v>309</v>
      </c>
      <c r="B206" s="1" t="s">
        <v>13</v>
      </c>
      <c r="C206" s="12">
        <v>28792.799999999999</v>
      </c>
    </row>
    <row r="207" spans="1:3" x14ac:dyDescent="0.2">
      <c r="A207" s="1" t="s">
        <v>310</v>
      </c>
      <c r="B207" s="1" t="s">
        <v>123</v>
      </c>
      <c r="C207" s="12">
        <v>2374.0500000000002</v>
      </c>
    </row>
    <row r="208" spans="1:3" x14ac:dyDescent="0.2">
      <c r="A208" s="1" t="s">
        <v>311</v>
      </c>
      <c r="B208" s="1" t="s">
        <v>20</v>
      </c>
      <c r="C208" s="12">
        <v>3748.5</v>
      </c>
    </row>
    <row r="209" spans="1:3" x14ac:dyDescent="0.2">
      <c r="A209" s="1" t="s">
        <v>312</v>
      </c>
      <c r="B209" s="1" t="s">
        <v>69</v>
      </c>
      <c r="C209" s="12">
        <v>20393.2</v>
      </c>
    </row>
    <row r="210" spans="1:3" x14ac:dyDescent="0.2">
      <c r="A210" s="1" t="s">
        <v>313</v>
      </c>
      <c r="B210" s="1" t="s">
        <v>27</v>
      </c>
      <c r="C210" s="12">
        <v>299.25</v>
      </c>
    </row>
    <row r="211" spans="1:3" x14ac:dyDescent="0.2">
      <c r="A211" s="1" t="s">
        <v>314</v>
      </c>
      <c r="B211" s="1" t="s">
        <v>88</v>
      </c>
      <c r="C211" s="12">
        <v>99990</v>
      </c>
    </row>
    <row r="212" spans="1:3" x14ac:dyDescent="0.2">
      <c r="A212" s="1" t="s">
        <v>315</v>
      </c>
      <c r="B212" s="1" t="s">
        <v>183</v>
      </c>
      <c r="C212" s="12">
        <v>2392</v>
      </c>
    </row>
    <row r="213" spans="1:3" x14ac:dyDescent="0.2">
      <c r="A213" s="1" t="s">
        <v>316</v>
      </c>
      <c r="B213" s="1" t="s">
        <v>69</v>
      </c>
      <c r="C213" s="12">
        <v>958.4</v>
      </c>
    </row>
    <row r="214" spans="1:3" x14ac:dyDescent="0.2">
      <c r="A214" s="1" t="s">
        <v>317</v>
      </c>
      <c r="B214" s="1" t="s">
        <v>36</v>
      </c>
      <c r="C214" s="12">
        <v>679.15</v>
      </c>
    </row>
    <row r="215" spans="1:3" x14ac:dyDescent="0.2">
      <c r="A215" s="1" t="s">
        <v>318</v>
      </c>
      <c r="B215" s="1" t="s">
        <v>20</v>
      </c>
      <c r="C215" s="12">
        <v>6393.6</v>
      </c>
    </row>
    <row r="216" spans="1:3" x14ac:dyDescent="0.2">
      <c r="A216" s="1" t="s">
        <v>319</v>
      </c>
      <c r="B216" s="1" t="s">
        <v>123</v>
      </c>
      <c r="C216" s="12">
        <v>18998.099999999999</v>
      </c>
    </row>
    <row r="217" spans="1:3" x14ac:dyDescent="0.2">
      <c r="A217" s="1" t="s">
        <v>320</v>
      </c>
      <c r="B217" s="1" t="s">
        <v>36</v>
      </c>
      <c r="C217" s="12">
        <v>16191.9</v>
      </c>
    </row>
    <row r="218" spans="1:3" x14ac:dyDescent="0.2">
      <c r="A218" s="1" t="s">
        <v>321</v>
      </c>
      <c r="B218" s="1" t="s">
        <v>460</v>
      </c>
      <c r="C218" s="12">
        <v>2276.1999999999998</v>
      </c>
    </row>
    <row r="219" spans="1:3" x14ac:dyDescent="0.2">
      <c r="A219" s="1" t="s">
        <v>322</v>
      </c>
      <c r="B219" s="1" t="s">
        <v>78</v>
      </c>
      <c r="C219" s="12">
        <v>4312.8</v>
      </c>
    </row>
    <row r="220" spans="1:3" x14ac:dyDescent="0.2">
      <c r="A220" s="1" t="s">
        <v>323</v>
      </c>
      <c r="B220" s="1" t="s">
        <v>82</v>
      </c>
      <c r="C220" s="12">
        <v>27994.400000000001</v>
      </c>
    </row>
    <row r="221" spans="1:3" x14ac:dyDescent="0.2">
      <c r="A221" s="1" t="s">
        <v>324</v>
      </c>
      <c r="B221" s="1" t="s">
        <v>36</v>
      </c>
      <c r="C221" s="12">
        <v>25641.45</v>
      </c>
    </row>
    <row r="222" spans="1:3" x14ac:dyDescent="0.2">
      <c r="A222" s="1" t="s">
        <v>325</v>
      </c>
      <c r="B222" s="1" t="s">
        <v>44</v>
      </c>
      <c r="C222" s="12">
        <v>2691</v>
      </c>
    </row>
    <row r="223" spans="1:3" x14ac:dyDescent="0.2">
      <c r="A223" s="1" t="s">
        <v>326</v>
      </c>
      <c r="B223" s="1" t="s">
        <v>82</v>
      </c>
      <c r="C223" s="12">
        <v>9596.7999999999993</v>
      </c>
    </row>
    <row r="224" spans="1:3" x14ac:dyDescent="0.2">
      <c r="A224" s="1" t="s">
        <v>327</v>
      </c>
      <c r="B224" s="1" t="s">
        <v>32</v>
      </c>
      <c r="C224" s="12">
        <v>249995</v>
      </c>
    </row>
    <row r="225" spans="1:3" x14ac:dyDescent="0.2">
      <c r="A225" s="1" t="s">
        <v>328</v>
      </c>
      <c r="B225" s="1" t="s">
        <v>75</v>
      </c>
      <c r="C225" s="12">
        <v>19992</v>
      </c>
    </row>
    <row r="226" spans="1:3" x14ac:dyDescent="0.2">
      <c r="A226" s="1" t="s">
        <v>329</v>
      </c>
      <c r="B226" s="1" t="s">
        <v>61</v>
      </c>
      <c r="C226" s="12">
        <v>15996.8</v>
      </c>
    </row>
    <row r="227" spans="1:3" x14ac:dyDescent="0.2">
      <c r="A227" s="1" t="s">
        <v>330</v>
      </c>
      <c r="B227" s="1" t="s">
        <v>20</v>
      </c>
      <c r="C227" s="12">
        <v>14396.4</v>
      </c>
    </row>
    <row r="228" spans="1:3" x14ac:dyDescent="0.2">
      <c r="A228" s="1" t="s">
        <v>331</v>
      </c>
      <c r="B228" s="1" t="s">
        <v>41</v>
      </c>
      <c r="C228" s="12">
        <v>75992.399999999994</v>
      </c>
    </row>
    <row r="229" spans="1:3" x14ac:dyDescent="0.2">
      <c r="A229" s="1" t="s">
        <v>332</v>
      </c>
      <c r="B229" s="1" t="s">
        <v>115</v>
      </c>
      <c r="C229" s="12">
        <v>22794.3</v>
      </c>
    </row>
    <row r="230" spans="1:3" x14ac:dyDescent="0.2">
      <c r="A230" s="1" t="s">
        <v>333</v>
      </c>
      <c r="B230" s="1" t="s">
        <v>20</v>
      </c>
      <c r="C230" s="12">
        <v>3592.8</v>
      </c>
    </row>
    <row r="231" spans="1:3" x14ac:dyDescent="0.2">
      <c r="A231" s="1" t="s">
        <v>334</v>
      </c>
      <c r="B231" s="1" t="s">
        <v>115</v>
      </c>
      <c r="C231" s="12">
        <v>33243.35</v>
      </c>
    </row>
    <row r="232" spans="1:3" x14ac:dyDescent="0.2">
      <c r="A232" s="1" t="s">
        <v>335</v>
      </c>
      <c r="B232" s="1" t="s">
        <v>44</v>
      </c>
      <c r="C232" s="12">
        <v>169993.2</v>
      </c>
    </row>
    <row r="233" spans="1:3" x14ac:dyDescent="0.2">
      <c r="A233" s="1" t="s">
        <v>336</v>
      </c>
      <c r="B233" s="1" t="s">
        <v>123</v>
      </c>
      <c r="C233" s="12">
        <v>85491.45</v>
      </c>
    </row>
    <row r="234" spans="1:3" x14ac:dyDescent="0.2">
      <c r="A234" s="1" t="s">
        <v>337</v>
      </c>
      <c r="B234" s="1" t="s">
        <v>78</v>
      </c>
      <c r="C234" s="12">
        <v>107992.8</v>
      </c>
    </row>
    <row r="235" spans="1:3" x14ac:dyDescent="0.2">
      <c r="A235" s="1" t="s">
        <v>338</v>
      </c>
      <c r="B235" s="1" t="s">
        <v>13</v>
      </c>
      <c r="C235" s="12">
        <v>21594.6</v>
      </c>
    </row>
    <row r="236" spans="1:3" x14ac:dyDescent="0.2">
      <c r="A236" s="1" t="s">
        <v>339</v>
      </c>
      <c r="B236" s="1" t="s">
        <v>41</v>
      </c>
      <c r="C236" s="12">
        <v>17991</v>
      </c>
    </row>
    <row r="237" spans="1:3" x14ac:dyDescent="0.2">
      <c r="A237" s="1" t="s">
        <v>340</v>
      </c>
      <c r="B237" s="1" t="s">
        <v>69</v>
      </c>
      <c r="C237" s="12">
        <v>4740.5</v>
      </c>
    </row>
    <row r="238" spans="1:3" x14ac:dyDescent="0.2">
      <c r="A238" s="1" t="s">
        <v>341</v>
      </c>
      <c r="B238" s="1" t="s">
        <v>78</v>
      </c>
      <c r="C238" s="12">
        <v>84996.6</v>
      </c>
    </row>
    <row r="239" spans="1:3" x14ac:dyDescent="0.2">
      <c r="A239" s="1" t="s">
        <v>342</v>
      </c>
      <c r="B239" s="1" t="s">
        <v>41</v>
      </c>
      <c r="C239" s="12">
        <v>71995.199999999997</v>
      </c>
    </row>
    <row r="240" spans="1:3" x14ac:dyDescent="0.2">
      <c r="A240" s="1" t="s">
        <v>343</v>
      </c>
      <c r="B240" s="1" t="s">
        <v>27</v>
      </c>
      <c r="C240" s="12">
        <v>23740.5</v>
      </c>
    </row>
    <row r="241" spans="1:3" x14ac:dyDescent="0.2">
      <c r="A241" s="1" t="s">
        <v>344</v>
      </c>
      <c r="B241" s="1" t="s">
        <v>82</v>
      </c>
      <c r="C241" s="12">
        <v>382492.35</v>
      </c>
    </row>
    <row r="242" spans="1:3" x14ac:dyDescent="0.2">
      <c r="A242" s="1" t="s">
        <v>345</v>
      </c>
      <c r="B242" s="1" t="s">
        <v>123</v>
      </c>
      <c r="C242" s="12">
        <v>7998.4</v>
      </c>
    </row>
    <row r="243" spans="1:3" x14ac:dyDescent="0.2">
      <c r="A243" s="1" t="s">
        <v>346</v>
      </c>
      <c r="B243" s="1" t="s">
        <v>126</v>
      </c>
      <c r="C243" s="12">
        <v>9742.5</v>
      </c>
    </row>
    <row r="244" spans="1:3" x14ac:dyDescent="0.2">
      <c r="A244" s="1" t="s">
        <v>347</v>
      </c>
      <c r="B244" s="1" t="s">
        <v>123</v>
      </c>
      <c r="C244" s="12">
        <v>956.8</v>
      </c>
    </row>
    <row r="245" spans="1:3" x14ac:dyDescent="0.2">
      <c r="A245" s="1" t="s">
        <v>348</v>
      </c>
      <c r="B245" s="1" t="s">
        <v>126</v>
      </c>
      <c r="C245" s="12">
        <v>11247.75</v>
      </c>
    </row>
    <row r="246" spans="1:3" x14ac:dyDescent="0.2">
      <c r="A246" s="1" t="s">
        <v>349</v>
      </c>
      <c r="B246" s="1" t="s">
        <v>88</v>
      </c>
      <c r="C246" s="12">
        <v>479.2</v>
      </c>
    </row>
    <row r="247" spans="1:3" x14ac:dyDescent="0.2">
      <c r="A247" s="1" t="s">
        <v>350</v>
      </c>
      <c r="B247" s="1" t="s">
        <v>36</v>
      </c>
      <c r="C247" s="12">
        <v>23997.599999999999</v>
      </c>
    </row>
    <row r="248" spans="1:3" x14ac:dyDescent="0.2">
      <c r="A248" s="1" t="s">
        <v>351</v>
      </c>
      <c r="B248" s="1" t="s">
        <v>78</v>
      </c>
      <c r="C248" s="12">
        <v>4796.8</v>
      </c>
    </row>
    <row r="249" spans="1:3" x14ac:dyDescent="0.2">
      <c r="A249" s="1" t="s">
        <v>352</v>
      </c>
      <c r="B249" s="1" t="s">
        <v>82</v>
      </c>
      <c r="C249" s="12">
        <v>16993.2</v>
      </c>
    </row>
    <row r="250" spans="1:3" x14ac:dyDescent="0.2">
      <c r="A250" s="1" t="s">
        <v>353</v>
      </c>
      <c r="B250" s="1" t="s">
        <v>32</v>
      </c>
      <c r="C250" s="12">
        <v>30592.35</v>
      </c>
    </row>
    <row r="251" spans="1:3" x14ac:dyDescent="0.2">
      <c r="A251" s="1" t="s">
        <v>354</v>
      </c>
      <c r="B251" s="1" t="s">
        <v>82</v>
      </c>
      <c r="C251" s="12">
        <v>5098.3</v>
      </c>
    </row>
    <row r="252" spans="1:3" x14ac:dyDescent="0.2">
      <c r="A252" s="1" t="s">
        <v>355</v>
      </c>
      <c r="B252" s="1" t="s">
        <v>105</v>
      </c>
      <c r="C252" s="12">
        <v>2995</v>
      </c>
    </row>
    <row r="253" spans="1:3" x14ac:dyDescent="0.2">
      <c r="A253" s="1" t="s">
        <v>356</v>
      </c>
      <c r="B253" s="1" t="s">
        <v>183</v>
      </c>
      <c r="C253" s="12">
        <v>8768.25</v>
      </c>
    </row>
    <row r="254" spans="1:3" x14ac:dyDescent="0.2">
      <c r="A254" s="1" t="s">
        <v>357</v>
      </c>
      <c r="B254" s="1" t="s">
        <v>13</v>
      </c>
      <c r="C254" s="12">
        <v>2994</v>
      </c>
    </row>
    <row r="255" spans="1:3" x14ac:dyDescent="0.2">
      <c r="A255" s="1" t="s">
        <v>358</v>
      </c>
      <c r="B255" s="1" t="s">
        <v>20</v>
      </c>
      <c r="C255" s="12">
        <v>89994</v>
      </c>
    </row>
    <row r="256" spans="1:3" x14ac:dyDescent="0.2">
      <c r="A256" s="1" t="s">
        <v>359</v>
      </c>
      <c r="B256" s="1" t="s">
        <v>36</v>
      </c>
      <c r="C256" s="12">
        <v>10392</v>
      </c>
    </row>
    <row r="257" spans="1:3" x14ac:dyDescent="0.2">
      <c r="A257" s="1" t="s">
        <v>360</v>
      </c>
      <c r="B257" s="1" t="s">
        <v>97</v>
      </c>
      <c r="C257" s="12">
        <v>4794</v>
      </c>
    </row>
    <row r="258" spans="1:3" x14ac:dyDescent="0.2">
      <c r="A258" s="1" t="s">
        <v>361</v>
      </c>
      <c r="B258" s="1" t="s">
        <v>126</v>
      </c>
      <c r="C258" s="12">
        <v>37496.25</v>
      </c>
    </row>
    <row r="259" spans="1:3" x14ac:dyDescent="0.2">
      <c r="A259" s="1" t="s">
        <v>362</v>
      </c>
      <c r="B259" s="1" t="s">
        <v>123</v>
      </c>
      <c r="C259" s="12">
        <v>1796.4</v>
      </c>
    </row>
    <row r="260" spans="1:3" x14ac:dyDescent="0.2">
      <c r="A260" s="1" t="s">
        <v>363</v>
      </c>
      <c r="B260" s="1" t="s">
        <v>32</v>
      </c>
      <c r="C260" s="12">
        <v>9595.2000000000007</v>
      </c>
    </row>
    <row r="261" spans="1:3" x14ac:dyDescent="0.2">
      <c r="A261" s="1" t="s">
        <v>364</v>
      </c>
      <c r="B261" s="1" t="s">
        <v>27</v>
      </c>
      <c r="C261" s="12">
        <v>2034.9</v>
      </c>
    </row>
    <row r="262" spans="1:3" x14ac:dyDescent="0.2">
      <c r="A262" s="1" t="s">
        <v>365</v>
      </c>
      <c r="B262" s="1" t="s">
        <v>115</v>
      </c>
      <c r="C262" s="12">
        <v>1274.1500000000001</v>
      </c>
    </row>
    <row r="263" spans="1:3" x14ac:dyDescent="0.2">
      <c r="A263" s="1" t="s">
        <v>366</v>
      </c>
      <c r="B263" s="1" t="s">
        <v>32</v>
      </c>
      <c r="C263" s="12">
        <v>1791</v>
      </c>
    </row>
    <row r="264" spans="1:3" x14ac:dyDescent="0.2">
      <c r="A264" s="1" t="s">
        <v>367</v>
      </c>
      <c r="B264" s="1" t="s">
        <v>183</v>
      </c>
      <c r="C264" s="12">
        <v>3395.75</v>
      </c>
    </row>
    <row r="265" spans="1:3" x14ac:dyDescent="0.2">
      <c r="A265" s="1" t="s">
        <v>368</v>
      </c>
      <c r="B265" s="1" t="s">
        <v>82</v>
      </c>
      <c r="C265" s="12">
        <v>12340.5</v>
      </c>
    </row>
    <row r="266" spans="1:3" x14ac:dyDescent="0.2">
      <c r="A266" s="1" t="s">
        <v>369</v>
      </c>
      <c r="B266" s="1" t="s">
        <v>115</v>
      </c>
      <c r="C266" s="12">
        <v>107992.8</v>
      </c>
    </row>
    <row r="267" spans="1:3" x14ac:dyDescent="0.2">
      <c r="A267" s="1" t="s">
        <v>370</v>
      </c>
      <c r="B267" s="1" t="s">
        <v>27</v>
      </c>
      <c r="C267" s="12">
        <v>1915.2</v>
      </c>
    </row>
    <row r="268" spans="1:3" x14ac:dyDescent="0.2">
      <c r="A268" s="1" t="s">
        <v>371</v>
      </c>
      <c r="B268" s="1" t="s">
        <v>20</v>
      </c>
      <c r="C268" s="12">
        <v>5121.45</v>
      </c>
    </row>
    <row r="269" spans="1:3" x14ac:dyDescent="0.2">
      <c r="A269" s="1" t="s">
        <v>372</v>
      </c>
      <c r="B269" s="1" t="s">
        <v>69</v>
      </c>
      <c r="C269" s="12">
        <v>149990</v>
      </c>
    </row>
    <row r="270" spans="1:3" x14ac:dyDescent="0.2">
      <c r="A270" s="1" t="s">
        <v>373</v>
      </c>
      <c r="B270" s="1" t="s">
        <v>41</v>
      </c>
      <c r="C270" s="12">
        <v>55994.400000000001</v>
      </c>
    </row>
    <row r="271" spans="1:3" x14ac:dyDescent="0.2">
      <c r="A271" s="1" t="s">
        <v>374</v>
      </c>
      <c r="B271" s="1" t="s">
        <v>69</v>
      </c>
      <c r="C271" s="12">
        <v>746.25</v>
      </c>
    </row>
    <row r="272" spans="1:3" x14ac:dyDescent="0.2">
      <c r="A272" s="1" t="s">
        <v>375</v>
      </c>
      <c r="B272" s="1" t="s">
        <v>61</v>
      </c>
      <c r="C272" s="12">
        <v>99998</v>
      </c>
    </row>
    <row r="273" spans="1:3" x14ac:dyDescent="0.2">
      <c r="A273" s="1" t="s">
        <v>376</v>
      </c>
      <c r="B273" s="1" t="s">
        <v>41</v>
      </c>
      <c r="C273" s="12">
        <v>13497.3</v>
      </c>
    </row>
    <row r="274" spans="1:3" x14ac:dyDescent="0.2">
      <c r="A274" s="1" t="s">
        <v>377</v>
      </c>
      <c r="B274" s="1" t="s">
        <v>49</v>
      </c>
      <c r="C274" s="12">
        <v>4043.25</v>
      </c>
    </row>
    <row r="275" spans="1:3" x14ac:dyDescent="0.2">
      <c r="A275" s="1" t="s">
        <v>378</v>
      </c>
      <c r="B275" s="1" t="s">
        <v>75</v>
      </c>
      <c r="C275" s="12">
        <v>3897</v>
      </c>
    </row>
    <row r="276" spans="1:3" x14ac:dyDescent="0.2">
      <c r="A276" s="1" t="s">
        <v>379</v>
      </c>
      <c r="B276" s="1" t="s">
        <v>69</v>
      </c>
      <c r="C276" s="12">
        <v>8638.35</v>
      </c>
    </row>
    <row r="277" spans="1:3" x14ac:dyDescent="0.2">
      <c r="A277" s="1" t="s">
        <v>380</v>
      </c>
      <c r="B277" s="1" t="s">
        <v>115</v>
      </c>
      <c r="C277" s="12">
        <v>448.5</v>
      </c>
    </row>
    <row r="278" spans="1:3" x14ac:dyDescent="0.2">
      <c r="A278" s="1" t="s">
        <v>381</v>
      </c>
      <c r="B278" s="1" t="s">
        <v>126</v>
      </c>
      <c r="C278" s="12">
        <v>508.3</v>
      </c>
    </row>
    <row r="279" spans="1:3" x14ac:dyDescent="0.2">
      <c r="A279" s="1" t="s">
        <v>382</v>
      </c>
      <c r="B279" s="1" t="s">
        <v>41</v>
      </c>
      <c r="C279" s="12">
        <v>8313.6</v>
      </c>
    </row>
    <row r="280" spans="1:3" x14ac:dyDescent="0.2">
      <c r="A280" s="1" t="s">
        <v>383</v>
      </c>
      <c r="B280" s="1" t="s">
        <v>115</v>
      </c>
      <c r="C280" s="12">
        <v>19992</v>
      </c>
    </row>
    <row r="281" spans="1:3" x14ac:dyDescent="0.2">
      <c r="A281" s="1" t="s">
        <v>384</v>
      </c>
      <c r="B281" s="1" t="s">
        <v>36</v>
      </c>
      <c r="C281" s="12">
        <v>9937.35</v>
      </c>
    </row>
    <row r="282" spans="1:3" x14ac:dyDescent="0.2">
      <c r="A282" s="1" t="s">
        <v>385</v>
      </c>
      <c r="B282" s="1" t="s">
        <v>41</v>
      </c>
      <c r="C282" s="12">
        <v>297494.05</v>
      </c>
    </row>
    <row r="283" spans="1:3" x14ac:dyDescent="0.2">
      <c r="A283" s="1" t="s">
        <v>386</v>
      </c>
      <c r="B283" s="1" t="s">
        <v>49</v>
      </c>
      <c r="C283" s="12">
        <v>33243.35</v>
      </c>
    </row>
    <row r="284" spans="1:3" x14ac:dyDescent="0.2">
      <c r="A284" s="1" t="s">
        <v>387</v>
      </c>
      <c r="B284" s="1" t="s">
        <v>75</v>
      </c>
      <c r="C284" s="12">
        <v>5997</v>
      </c>
    </row>
    <row r="285" spans="1:3" x14ac:dyDescent="0.2">
      <c r="A285" s="1" t="s">
        <v>388</v>
      </c>
      <c r="B285" s="1" t="s">
        <v>41</v>
      </c>
      <c r="C285" s="12">
        <v>213741.45</v>
      </c>
    </row>
    <row r="286" spans="1:3" x14ac:dyDescent="0.2">
      <c r="A286" s="1" t="s">
        <v>389</v>
      </c>
      <c r="B286" s="1" t="s">
        <v>32</v>
      </c>
      <c r="C286" s="12">
        <v>17998.2</v>
      </c>
    </row>
    <row r="287" spans="1:3" x14ac:dyDescent="0.2">
      <c r="A287" s="1" t="s">
        <v>390</v>
      </c>
      <c r="B287" s="1" t="s">
        <v>105</v>
      </c>
      <c r="C287" s="12">
        <v>2990</v>
      </c>
    </row>
    <row r="288" spans="1:3" x14ac:dyDescent="0.2">
      <c r="A288" s="1" t="s">
        <v>391</v>
      </c>
      <c r="B288" s="1" t="s">
        <v>20</v>
      </c>
      <c r="C288" s="12">
        <v>11994</v>
      </c>
    </row>
    <row r="289" spans="1:3" x14ac:dyDescent="0.2">
      <c r="A289" s="1" t="s">
        <v>392</v>
      </c>
      <c r="B289" s="1" t="s">
        <v>13</v>
      </c>
      <c r="C289" s="12">
        <v>8491.5</v>
      </c>
    </row>
    <row r="290" spans="1:3" x14ac:dyDescent="0.2">
      <c r="A290" s="1" t="s">
        <v>393</v>
      </c>
      <c r="B290" s="1" t="s">
        <v>36</v>
      </c>
      <c r="C290" s="12">
        <v>24291.9</v>
      </c>
    </row>
    <row r="291" spans="1:3" x14ac:dyDescent="0.2">
      <c r="A291" s="1" t="s">
        <v>394</v>
      </c>
      <c r="B291" s="1" t="s">
        <v>88</v>
      </c>
      <c r="C291" s="12">
        <v>18992.400000000001</v>
      </c>
    </row>
    <row r="292" spans="1:3" x14ac:dyDescent="0.2">
      <c r="A292" s="1" t="s">
        <v>395</v>
      </c>
      <c r="B292" s="1" t="s">
        <v>97</v>
      </c>
      <c r="C292" s="12">
        <v>537.29999999999995</v>
      </c>
    </row>
    <row r="293" spans="1:3" x14ac:dyDescent="0.2">
      <c r="A293" s="1" t="s">
        <v>396</v>
      </c>
      <c r="B293" s="1" t="s">
        <v>44</v>
      </c>
      <c r="C293" s="12">
        <v>9496.2000000000007</v>
      </c>
    </row>
    <row r="294" spans="1:3" x14ac:dyDescent="0.2">
      <c r="A294" s="1" t="s">
        <v>397</v>
      </c>
      <c r="B294" s="1" t="s">
        <v>183</v>
      </c>
      <c r="C294" s="12">
        <v>101993.2</v>
      </c>
    </row>
    <row r="295" spans="1:3" x14ac:dyDescent="0.2">
      <c r="A295" s="1" t="s">
        <v>398</v>
      </c>
      <c r="B295" s="1" t="s">
        <v>75</v>
      </c>
      <c r="C295" s="12">
        <v>2152.8000000000002</v>
      </c>
    </row>
    <row r="296" spans="1:3" x14ac:dyDescent="0.2">
      <c r="A296" s="1" t="s">
        <v>399</v>
      </c>
      <c r="B296" s="1" t="s">
        <v>41</v>
      </c>
      <c r="C296" s="12">
        <v>1197</v>
      </c>
    </row>
    <row r="297" spans="1:3" x14ac:dyDescent="0.2">
      <c r="A297" s="1" t="s">
        <v>400</v>
      </c>
      <c r="B297" s="1" t="s">
        <v>105</v>
      </c>
      <c r="C297" s="12">
        <v>11249.25</v>
      </c>
    </row>
    <row r="298" spans="1:3" x14ac:dyDescent="0.2">
      <c r="A298" s="1" t="s">
        <v>401</v>
      </c>
      <c r="B298" s="1" t="s">
        <v>126</v>
      </c>
      <c r="C298" s="12">
        <v>18749.25</v>
      </c>
    </row>
    <row r="299" spans="1:3" x14ac:dyDescent="0.2">
      <c r="A299" s="1" t="s">
        <v>402</v>
      </c>
      <c r="B299" s="1" t="s">
        <v>82</v>
      </c>
      <c r="C299" s="12">
        <v>798.4</v>
      </c>
    </row>
    <row r="300" spans="1:3" x14ac:dyDescent="0.2">
      <c r="A300" s="1" t="s">
        <v>403</v>
      </c>
      <c r="B300" s="1" t="s">
        <v>105</v>
      </c>
      <c r="C300" s="12">
        <v>19995</v>
      </c>
    </row>
    <row r="301" spans="1:3" x14ac:dyDescent="0.2">
      <c r="A301" s="1" t="s">
        <v>404</v>
      </c>
      <c r="B301" s="1" t="s">
        <v>69</v>
      </c>
      <c r="C301" s="12">
        <v>5997</v>
      </c>
    </row>
    <row r="302" spans="1:3" x14ac:dyDescent="0.2">
      <c r="A302" s="1" t="s">
        <v>405</v>
      </c>
      <c r="B302" s="1" t="s">
        <v>41</v>
      </c>
      <c r="C302" s="12">
        <v>297494.05</v>
      </c>
    </row>
    <row r="303" spans="1:3" x14ac:dyDescent="0.2">
      <c r="A303" s="1" t="s">
        <v>406</v>
      </c>
      <c r="B303" s="1" t="s">
        <v>126</v>
      </c>
      <c r="C303" s="12">
        <v>13994.4</v>
      </c>
    </row>
    <row r="304" spans="1:3" x14ac:dyDescent="0.2">
      <c r="A304" s="1" t="s">
        <v>407</v>
      </c>
      <c r="B304" s="1" t="s">
        <v>41</v>
      </c>
      <c r="C304" s="12">
        <v>134991</v>
      </c>
    </row>
    <row r="305" spans="1:3" x14ac:dyDescent="0.2">
      <c r="A305" s="1" t="s">
        <v>408</v>
      </c>
      <c r="B305" s="1" t="s">
        <v>32</v>
      </c>
      <c r="C305" s="12">
        <v>1134.3</v>
      </c>
    </row>
    <row r="306" spans="1:3" x14ac:dyDescent="0.2">
      <c r="A306" s="1" t="s">
        <v>409</v>
      </c>
      <c r="B306" s="1" t="s">
        <v>49</v>
      </c>
      <c r="C306" s="12">
        <v>10392</v>
      </c>
    </row>
    <row r="307" spans="1:3" x14ac:dyDescent="0.2">
      <c r="A307" s="1" t="s">
        <v>410</v>
      </c>
      <c r="B307" s="1" t="s">
        <v>20</v>
      </c>
      <c r="C307" s="12">
        <v>957.6</v>
      </c>
    </row>
    <row r="308" spans="1:3" x14ac:dyDescent="0.2">
      <c r="A308" s="1" t="s">
        <v>411</v>
      </c>
      <c r="B308" s="1" t="s">
        <v>13</v>
      </c>
      <c r="C308" s="12">
        <v>21594.6</v>
      </c>
    </row>
    <row r="309" spans="1:3" x14ac:dyDescent="0.2">
      <c r="A309" s="1" t="s">
        <v>412</v>
      </c>
      <c r="B309" s="1" t="s">
        <v>32</v>
      </c>
      <c r="C309" s="12">
        <v>254994.9</v>
      </c>
    </row>
    <row r="310" spans="1:3" x14ac:dyDescent="0.2">
      <c r="A310" s="1" t="s">
        <v>413</v>
      </c>
      <c r="B310" s="1" t="s">
        <v>44</v>
      </c>
      <c r="C310" s="12">
        <v>4871.25</v>
      </c>
    </row>
    <row r="311" spans="1:3" x14ac:dyDescent="0.2">
      <c r="A311" s="1" t="s">
        <v>414</v>
      </c>
      <c r="B311" s="1" t="s">
        <v>32</v>
      </c>
      <c r="C311" s="12">
        <v>10797.3</v>
      </c>
    </row>
    <row r="312" spans="1:3" x14ac:dyDescent="0.2">
      <c r="A312" s="1" t="s">
        <v>415</v>
      </c>
      <c r="B312" s="1" t="s">
        <v>61</v>
      </c>
      <c r="C312" s="12">
        <v>8994</v>
      </c>
    </row>
    <row r="313" spans="1:3" x14ac:dyDescent="0.2">
      <c r="A313" s="1" t="s">
        <v>416</v>
      </c>
      <c r="B313" s="1" t="s">
        <v>75</v>
      </c>
      <c r="C313" s="12">
        <v>191242.35</v>
      </c>
    </row>
    <row r="314" spans="1:3" x14ac:dyDescent="0.2">
      <c r="A314" s="1" t="s">
        <v>417</v>
      </c>
      <c r="B314" s="1" t="s">
        <v>61</v>
      </c>
      <c r="C314" s="12">
        <v>21241.5</v>
      </c>
    </row>
    <row r="315" spans="1:3" x14ac:dyDescent="0.2">
      <c r="A315" s="1" t="s">
        <v>418</v>
      </c>
      <c r="B315" s="1" t="s">
        <v>97</v>
      </c>
      <c r="C315" s="12">
        <v>9352.7999999999993</v>
      </c>
    </row>
    <row r="316" spans="1:3" x14ac:dyDescent="0.2">
      <c r="A316" s="1" t="s">
        <v>419</v>
      </c>
      <c r="B316" s="1" t="s">
        <v>49</v>
      </c>
      <c r="C316" s="12">
        <v>6370.75</v>
      </c>
    </row>
    <row r="317" spans="1:3" x14ac:dyDescent="0.2">
      <c r="A317" s="1" t="s">
        <v>420</v>
      </c>
      <c r="B317" s="1" t="s">
        <v>75</v>
      </c>
      <c r="C317" s="12">
        <v>74995</v>
      </c>
    </row>
    <row r="318" spans="1:3" x14ac:dyDescent="0.2">
      <c r="A318" s="1" t="s">
        <v>421</v>
      </c>
      <c r="B318" s="1" t="s">
        <v>183</v>
      </c>
      <c r="C318" s="12">
        <v>1078.2</v>
      </c>
    </row>
    <row r="319" spans="1:3" x14ac:dyDescent="0.2">
      <c r="A319" s="1" t="s">
        <v>422</v>
      </c>
      <c r="B319" s="1" t="s">
        <v>36</v>
      </c>
      <c r="C319" s="12">
        <v>16993.2</v>
      </c>
    </row>
    <row r="320" spans="1:3" x14ac:dyDescent="0.2">
      <c r="A320" s="1" t="s">
        <v>423</v>
      </c>
      <c r="B320" s="1" t="s">
        <v>82</v>
      </c>
      <c r="C320" s="12">
        <v>4074.9</v>
      </c>
    </row>
    <row r="321" spans="1:3" x14ac:dyDescent="0.2">
      <c r="A321" s="1" t="s">
        <v>424</v>
      </c>
      <c r="B321" s="1" t="s">
        <v>123</v>
      </c>
      <c r="C321" s="12">
        <v>8919.0499999999993</v>
      </c>
    </row>
    <row r="322" spans="1:3" x14ac:dyDescent="0.2">
      <c r="A322" s="1" t="s">
        <v>425</v>
      </c>
      <c r="B322" s="1" t="s">
        <v>44</v>
      </c>
      <c r="C322" s="12">
        <v>1343.25</v>
      </c>
    </row>
    <row r="323" spans="1:3" x14ac:dyDescent="0.2">
      <c r="A323" s="1" t="s">
        <v>426</v>
      </c>
      <c r="B323" s="1" t="s">
        <v>105</v>
      </c>
      <c r="C323" s="12">
        <v>7498.5</v>
      </c>
    </row>
    <row r="324" spans="1:3" x14ac:dyDescent="0.2">
      <c r="A324" s="1" t="s">
        <v>427</v>
      </c>
      <c r="B324" s="1" t="s">
        <v>82</v>
      </c>
      <c r="C324" s="12">
        <v>12747.45</v>
      </c>
    </row>
    <row r="325" spans="1:3" x14ac:dyDescent="0.2">
      <c r="A325" s="1" t="s">
        <v>428</v>
      </c>
      <c r="B325" s="1" t="s">
        <v>27</v>
      </c>
      <c r="C325" s="12">
        <v>35992.800000000003</v>
      </c>
    </row>
    <row r="326" spans="1:3" x14ac:dyDescent="0.2">
      <c r="A326" s="1" t="s">
        <v>429</v>
      </c>
      <c r="B326" s="1" t="s">
        <v>20</v>
      </c>
      <c r="C326" s="12">
        <v>11396.2</v>
      </c>
    </row>
    <row r="327" spans="1:3" x14ac:dyDescent="0.2">
      <c r="A327" s="1" t="s">
        <v>430</v>
      </c>
      <c r="B327" s="1" t="s">
        <v>44</v>
      </c>
      <c r="C327" s="12">
        <v>398</v>
      </c>
    </row>
    <row r="328" spans="1:3" x14ac:dyDescent="0.2">
      <c r="A328" s="1" t="s">
        <v>431</v>
      </c>
      <c r="B328" s="1" t="s">
        <v>88</v>
      </c>
      <c r="C328" s="12">
        <v>20394.900000000001</v>
      </c>
    </row>
    <row r="329" spans="1:3" x14ac:dyDescent="0.2">
      <c r="A329" s="1" t="s">
        <v>432</v>
      </c>
      <c r="B329" s="1" t="s">
        <v>88</v>
      </c>
      <c r="C329" s="12">
        <v>3592.8</v>
      </c>
    </row>
    <row r="330" spans="1:3" x14ac:dyDescent="0.2">
      <c r="A330" s="1" t="s">
        <v>433</v>
      </c>
      <c r="B330" s="1" t="s">
        <v>13</v>
      </c>
      <c r="C330" s="12">
        <v>56994.3</v>
      </c>
    </row>
    <row r="331" spans="1:3" x14ac:dyDescent="0.2">
      <c r="A331" s="1" t="s">
        <v>434</v>
      </c>
      <c r="B331" s="1" t="s">
        <v>78</v>
      </c>
      <c r="C331" s="12">
        <v>19992</v>
      </c>
    </row>
    <row r="332" spans="1:3" x14ac:dyDescent="0.2">
      <c r="A332" s="1" t="s">
        <v>435</v>
      </c>
      <c r="B332" s="1" t="s">
        <v>13</v>
      </c>
      <c r="C332" s="12">
        <v>1198.5</v>
      </c>
    </row>
    <row r="333" spans="1:3" x14ac:dyDescent="0.2">
      <c r="A333" s="1" t="s">
        <v>436</v>
      </c>
      <c r="B333" s="1" t="s">
        <v>75</v>
      </c>
      <c r="C333" s="12">
        <v>38242.35</v>
      </c>
    </row>
    <row r="334" spans="1:3" x14ac:dyDescent="0.2">
      <c r="A334" s="1" t="s">
        <v>437</v>
      </c>
      <c r="B334" s="1" t="s">
        <v>75</v>
      </c>
      <c r="C334" s="12">
        <v>849.15</v>
      </c>
    </row>
    <row r="335" spans="1:3" x14ac:dyDescent="0.2">
      <c r="A335" s="1" t="s">
        <v>438</v>
      </c>
      <c r="B335" s="1" t="s">
        <v>49</v>
      </c>
      <c r="C335" s="12">
        <v>1596</v>
      </c>
    </row>
    <row r="336" spans="1:3" x14ac:dyDescent="0.2">
      <c r="A336" s="1" t="s">
        <v>439</v>
      </c>
      <c r="B336" s="1" t="s">
        <v>75</v>
      </c>
      <c r="C336" s="12">
        <v>3592.8</v>
      </c>
    </row>
    <row r="337" spans="1:3" x14ac:dyDescent="0.2">
      <c r="A337" s="1" t="s">
        <v>440</v>
      </c>
      <c r="B337" s="1" t="s">
        <v>36</v>
      </c>
      <c r="C337" s="12">
        <v>3143.7</v>
      </c>
    </row>
    <row r="338" spans="1:3" x14ac:dyDescent="0.2">
      <c r="A338" s="1" t="s">
        <v>441</v>
      </c>
      <c r="B338" s="1" t="s">
        <v>27</v>
      </c>
      <c r="C338" s="12">
        <v>2992.5</v>
      </c>
    </row>
    <row r="339" spans="1:3" x14ac:dyDescent="0.2">
      <c r="A339" s="1" t="s">
        <v>442</v>
      </c>
      <c r="B339" s="1" t="s">
        <v>13</v>
      </c>
      <c r="C339" s="12">
        <v>6747.75</v>
      </c>
    </row>
    <row r="340" spans="1:3" x14ac:dyDescent="0.2">
      <c r="A340" s="1" t="s">
        <v>443</v>
      </c>
      <c r="B340" s="1" t="s">
        <v>49</v>
      </c>
      <c r="C340" s="12">
        <v>33243.35</v>
      </c>
    </row>
    <row r="341" spans="1:3" x14ac:dyDescent="0.2">
      <c r="A341" s="1" t="s">
        <v>444</v>
      </c>
      <c r="B341" s="1" t="s">
        <v>20</v>
      </c>
      <c r="C341" s="12">
        <v>2845.25</v>
      </c>
    </row>
    <row r="342" spans="1:3" x14ac:dyDescent="0.2">
      <c r="A342" s="1" t="s">
        <v>445</v>
      </c>
      <c r="B342" s="1" t="s">
        <v>27</v>
      </c>
      <c r="C342" s="12">
        <v>4552.3999999999996</v>
      </c>
    </row>
    <row r="343" spans="1:3" x14ac:dyDescent="0.2">
      <c r="A343" s="1" t="s">
        <v>446</v>
      </c>
      <c r="B343" s="1" t="s">
        <v>88</v>
      </c>
      <c r="C343" s="12">
        <v>29994</v>
      </c>
    </row>
    <row r="344" spans="1:3" x14ac:dyDescent="0.2">
      <c r="A344" s="1" t="s">
        <v>447</v>
      </c>
      <c r="B344" s="1" t="s">
        <v>75</v>
      </c>
      <c r="C344" s="12">
        <v>1345.5</v>
      </c>
    </row>
    <row r="345" spans="1:3" x14ac:dyDescent="0.2">
      <c r="A345" s="1" t="s">
        <v>448</v>
      </c>
      <c r="B345" s="1" t="s">
        <v>82</v>
      </c>
      <c r="C345" s="12">
        <v>319993.59999999998</v>
      </c>
    </row>
    <row r="346" spans="1:3" x14ac:dyDescent="0.2">
      <c r="A346" s="1" t="s">
        <v>449</v>
      </c>
      <c r="B346" s="1" t="s">
        <v>13</v>
      </c>
      <c r="C346" s="12">
        <v>7999.2</v>
      </c>
    </row>
    <row r="347" spans="1:3" x14ac:dyDescent="0.2">
      <c r="A347" s="1" t="s">
        <v>450</v>
      </c>
      <c r="B347" s="1" t="s">
        <v>13</v>
      </c>
      <c r="C347" s="12">
        <v>10792.8</v>
      </c>
    </row>
    <row r="348" spans="1:3" x14ac:dyDescent="0.2">
      <c r="A348" s="1" t="s">
        <v>451</v>
      </c>
      <c r="B348" s="1" t="s">
        <v>13</v>
      </c>
      <c r="C348" s="12">
        <v>22492.5</v>
      </c>
    </row>
    <row r="349" spans="1:3" x14ac:dyDescent="0.2">
      <c r="A349" s="1" t="s">
        <v>452</v>
      </c>
      <c r="B349" s="1" t="s">
        <v>97</v>
      </c>
      <c r="C349" s="12">
        <v>956.8</v>
      </c>
    </row>
    <row r="350" spans="1:3" x14ac:dyDescent="0.2">
      <c r="A350" s="1" t="s">
        <v>453</v>
      </c>
      <c r="B350" s="1" t="s">
        <v>32</v>
      </c>
      <c r="C350" s="12">
        <v>7996</v>
      </c>
    </row>
    <row r="351" spans="1:3" x14ac:dyDescent="0.2">
      <c r="A351" s="1" t="s">
        <v>454</v>
      </c>
      <c r="B351" s="1" t="s">
        <v>13</v>
      </c>
      <c r="C351" s="12">
        <v>2246.25</v>
      </c>
    </row>
    <row r="352" spans="1:3" x14ac:dyDescent="0.2">
      <c r="A352" s="1" t="s">
        <v>455</v>
      </c>
      <c r="B352" s="1" t="s">
        <v>115</v>
      </c>
      <c r="C352" s="12">
        <v>99743.35</v>
      </c>
    </row>
    <row r="353" spans="1:3" x14ac:dyDescent="0.2">
      <c r="A353" s="1" t="s">
        <v>456</v>
      </c>
      <c r="B353" s="1" t="s">
        <v>32</v>
      </c>
      <c r="C353" s="12">
        <v>678.3</v>
      </c>
    </row>
  </sheetData>
  <mergeCells count="1">
    <mergeCell ref="A1:C2"/>
  </mergeCells>
  <conditionalFormatting sqref="C4:C353">
    <cfRule type="iconSet" priority="1">
      <iconSet iconSet="3Arrows">
        <cfvo type="percent" val="0"/>
        <cfvo type="percent" val="33"/>
        <cfvo type="percent" val="67"/>
      </iconSet>
    </cfRule>
    <cfRule type="colorScale" priority="2">
      <colorScale>
        <cfvo type="min"/>
        <cfvo type="percentile" val="50"/>
        <cfvo type="max"/>
        <color rgb="FFF8696B"/>
        <color rgb="FFFFEB84"/>
        <color rgb="FF63BE7B"/>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E2154-CDE2-5341-B374-D8F44B44A7CF}">
  <dimension ref="A1:G15"/>
  <sheetViews>
    <sheetView workbookViewId="0">
      <selection activeCell="A24" sqref="A24"/>
    </sheetView>
  </sheetViews>
  <sheetFormatPr baseColWidth="10" defaultRowHeight="15" x14ac:dyDescent="0.2"/>
  <cols>
    <col min="1" max="1" width="134.83203125" bestFit="1" customWidth="1"/>
    <col min="2" max="2" width="18.33203125" bestFit="1" customWidth="1"/>
  </cols>
  <sheetData>
    <row r="1" spans="1:7" ht="26" x14ac:dyDescent="0.3">
      <c r="A1" s="79" t="s">
        <v>500</v>
      </c>
      <c r="B1" s="79"/>
      <c r="C1" s="34"/>
      <c r="D1" s="34"/>
      <c r="E1" s="34"/>
      <c r="F1" s="34"/>
      <c r="G1" s="34"/>
    </row>
    <row r="2" spans="1:7" ht="26" x14ac:dyDescent="0.3">
      <c r="A2" s="35" t="s">
        <v>498</v>
      </c>
      <c r="B2" s="36" t="s">
        <v>15</v>
      </c>
      <c r="C2" s="34"/>
      <c r="D2" s="34"/>
      <c r="E2" s="34"/>
      <c r="F2" s="34"/>
      <c r="G2" s="34"/>
    </row>
    <row r="3" spans="1:7" ht="26" x14ac:dyDescent="0.3">
      <c r="A3" s="37" t="s">
        <v>499</v>
      </c>
      <c r="B3" s="38" t="s">
        <v>33</v>
      </c>
      <c r="C3" s="34"/>
      <c r="D3" s="34"/>
      <c r="E3" s="34"/>
      <c r="F3" s="34"/>
      <c r="G3" s="34"/>
    </row>
    <row r="4" spans="1:7" ht="26" x14ac:dyDescent="0.3">
      <c r="A4" s="37" t="s">
        <v>501</v>
      </c>
      <c r="B4" s="38" t="s">
        <v>18</v>
      </c>
      <c r="C4" s="34"/>
      <c r="D4" s="34"/>
      <c r="E4" s="34"/>
      <c r="F4" s="34"/>
      <c r="G4" s="34"/>
    </row>
    <row r="5" spans="1:7" ht="26" x14ac:dyDescent="0.3">
      <c r="A5" s="37" t="s">
        <v>502</v>
      </c>
      <c r="B5" s="38">
        <v>5057053.95</v>
      </c>
      <c r="C5" s="34"/>
      <c r="D5" s="34"/>
      <c r="E5" s="34"/>
      <c r="F5" s="34"/>
      <c r="G5" s="34"/>
    </row>
    <row r="6" spans="1:7" ht="26" x14ac:dyDescent="0.3">
      <c r="A6" s="37" t="s">
        <v>503</v>
      </c>
      <c r="B6" s="38" t="s">
        <v>51</v>
      </c>
      <c r="C6" s="34"/>
      <c r="D6" s="34"/>
      <c r="E6" s="34"/>
      <c r="F6" s="34"/>
      <c r="G6" s="34"/>
    </row>
    <row r="7" spans="1:7" x14ac:dyDescent="0.2">
      <c r="A7" s="34"/>
      <c r="B7" s="34"/>
      <c r="C7" s="34"/>
      <c r="D7" s="34"/>
      <c r="E7" s="34"/>
      <c r="F7" s="34"/>
      <c r="G7" s="34"/>
    </row>
    <row r="8" spans="1:7" ht="24" x14ac:dyDescent="0.3">
      <c r="A8" s="34"/>
      <c r="B8" s="34"/>
      <c r="C8" s="39"/>
      <c r="D8" s="34"/>
      <c r="E8" s="34"/>
      <c r="F8" s="34"/>
      <c r="G8" s="34"/>
    </row>
    <row r="9" spans="1:7" ht="24" x14ac:dyDescent="0.3">
      <c r="A9" s="80" t="s">
        <v>504</v>
      </c>
      <c r="B9" s="80"/>
      <c r="C9" s="39"/>
      <c r="D9" s="34"/>
      <c r="E9" s="34"/>
      <c r="F9" s="34"/>
      <c r="G9" s="34"/>
    </row>
    <row r="10" spans="1:7" ht="24" x14ac:dyDescent="0.3">
      <c r="A10" s="39" t="s">
        <v>505</v>
      </c>
      <c r="B10" s="39"/>
      <c r="C10" s="39"/>
      <c r="D10" s="34"/>
      <c r="E10" s="34"/>
      <c r="F10" s="34"/>
      <c r="G10" s="34"/>
    </row>
    <row r="11" spans="1:7" ht="24" x14ac:dyDescent="0.3">
      <c r="A11" s="39" t="s">
        <v>506</v>
      </c>
      <c r="B11" s="39"/>
      <c r="C11" s="39"/>
      <c r="D11" s="34"/>
      <c r="E11" s="34"/>
      <c r="F11" s="34"/>
      <c r="G11" s="34"/>
    </row>
    <row r="12" spans="1:7" ht="24" x14ac:dyDescent="0.3">
      <c r="A12" s="39" t="s">
        <v>507</v>
      </c>
      <c r="B12" s="39"/>
      <c r="C12" s="39"/>
      <c r="D12" s="39"/>
      <c r="E12" s="34"/>
      <c r="F12" s="34"/>
      <c r="G12" s="34"/>
    </row>
    <row r="13" spans="1:7" ht="24" x14ac:dyDescent="0.3">
      <c r="A13" s="39" t="s">
        <v>508</v>
      </c>
      <c r="B13" s="39"/>
      <c r="C13" s="39"/>
      <c r="D13" s="34"/>
      <c r="E13" s="34"/>
      <c r="F13" s="34"/>
      <c r="G13" s="34"/>
    </row>
    <row r="14" spans="1:7" ht="24" x14ac:dyDescent="0.3">
      <c r="A14" s="39" t="s">
        <v>509</v>
      </c>
      <c r="B14" s="39"/>
      <c r="C14" s="39"/>
      <c r="D14" s="39"/>
      <c r="E14" s="34"/>
      <c r="F14" s="34"/>
      <c r="G14" s="34"/>
    </row>
    <row r="15" spans="1:7" ht="24" x14ac:dyDescent="0.3">
      <c r="A15" s="39" t="s">
        <v>510</v>
      </c>
      <c r="B15" s="39"/>
      <c r="C15" s="39"/>
      <c r="D15" s="39"/>
      <c r="E15" s="39"/>
      <c r="F15" s="39"/>
      <c r="G15" s="39"/>
    </row>
  </sheetData>
  <mergeCells count="2">
    <mergeCell ref="A1:B1"/>
    <mergeCell ref="A9:B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E5F4D-81F2-0F4C-94B4-A16CDF182A8A}">
  <dimension ref="A3:C56"/>
  <sheetViews>
    <sheetView zoomScale="67" workbookViewId="0">
      <selection activeCell="P54" sqref="P54"/>
    </sheetView>
  </sheetViews>
  <sheetFormatPr baseColWidth="10" defaultRowHeight="15" x14ac:dyDescent="0.2"/>
  <cols>
    <col min="1" max="1" width="17.83203125" bestFit="1" customWidth="1"/>
    <col min="2" max="2" width="14.5" bestFit="1" customWidth="1"/>
    <col min="3" max="3" width="20" customWidth="1"/>
  </cols>
  <sheetData>
    <row r="3" spans="1:2" x14ac:dyDescent="0.2">
      <c r="A3" s="23" t="s">
        <v>4</v>
      </c>
      <c r="B3" t="s">
        <v>481</v>
      </c>
    </row>
    <row r="4" spans="1:2" x14ac:dyDescent="0.2">
      <c r="A4" t="s">
        <v>51</v>
      </c>
      <c r="B4">
        <v>1407245.5499999998</v>
      </c>
    </row>
    <row r="5" spans="1:2" x14ac:dyDescent="0.2">
      <c r="A5" t="s">
        <v>22</v>
      </c>
      <c r="B5">
        <v>2339394.65</v>
      </c>
    </row>
    <row r="6" spans="1:2" x14ac:dyDescent="0.2">
      <c r="A6" t="s">
        <v>46</v>
      </c>
      <c r="B6">
        <v>3670483.9999999991</v>
      </c>
    </row>
    <row r="7" spans="1:2" x14ac:dyDescent="0.2">
      <c r="A7" t="s">
        <v>15</v>
      </c>
      <c r="B7">
        <v>5057053.9499999983</v>
      </c>
    </row>
    <row r="8" spans="1:2" x14ac:dyDescent="0.2">
      <c r="A8" t="s">
        <v>480</v>
      </c>
      <c r="B8">
        <v>12474178.149999999</v>
      </c>
    </row>
    <row r="15" spans="1:2" x14ac:dyDescent="0.2">
      <c r="A15" s="23" t="s">
        <v>5</v>
      </c>
      <c r="B15" t="s">
        <v>481</v>
      </c>
    </row>
    <row r="16" spans="1:2" x14ac:dyDescent="0.2">
      <c r="A16" t="s">
        <v>16</v>
      </c>
      <c r="B16">
        <v>965182.5</v>
      </c>
    </row>
    <row r="17" spans="1:3" x14ac:dyDescent="0.2">
      <c r="A17" t="s">
        <v>37</v>
      </c>
      <c r="B17">
        <v>1188236.7</v>
      </c>
    </row>
    <row r="18" spans="1:3" x14ac:dyDescent="0.2">
      <c r="A18" t="s">
        <v>79</v>
      </c>
      <c r="B18">
        <v>764764.7</v>
      </c>
    </row>
    <row r="19" spans="1:3" x14ac:dyDescent="0.2">
      <c r="A19" t="s">
        <v>33</v>
      </c>
      <c r="B19">
        <v>2228334.0499999998</v>
      </c>
    </row>
    <row r="20" spans="1:3" x14ac:dyDescent="0.2">
      <c r="A20" t="s">
        <v>58</v>
      </c>
      <c r="B20">
        <v>2448707.8999999994</v>
      </c>
    </row>
    <row r="21" spans="1:3" x14ac:dyDescent="0.2">
      <c r="A21" t="s">
        <v>28</v>
      </c>
      <c r="B21">
        <v>1487729.8</v>
      </c>
    </row>
    <row r="22" spans="1:3" x14ac:dyDescent="0.2">
      <c r="A22" t="s">
        <v>52</v>
      </c>
      <c r="B22">
        <v>1603850.25</v>
      </c>
    </row>
    <row r="23" spans="1:3" x14ac:dyDescent="0.2">
      <c r="A23" t="s">
        <v>23</v>
      </c>
      <c r="B23">
        <v>1787372.25</v>
      </c>
    </row>
    <row r="24" spans="1:3" x14ac:dyDescent="0.2">
      <c r="A24" t="s">
        <v>480</v>
      </c>
      <c r="B24">
        <v>12474178.15</v>
      </c>
    </row>
    <row r="32" spans="1:3" x14ac:dyDescent="0.2">
      <c r="A32" s="23" t="s">
        <v>513</v>
      </c>
      <c r="B32" s="23" t="s">
        <v>1</v>
      </c>
      <c r="C32" t="s">
        <v>481</v>
      </c>
    </row>
    <row r="33" spans="1:3" x14ac:dyDescent="0.2">
      <c r="A33" t="s">
        <v>514</v>
      </c>
      <c r="C33">
        <v>1189759.7000000002</v>
      </c>
    </row>
    <row r="34" spans="1:3" x14ac:dyDescent="0.2">
      <c r="A34" t="s">
        <v>515</v>
      </c>
      <c r="C34">
        <v>2013100.3499999999</v>
      </c>
    </row>
    <row r="35" spans="1:3" x14ac:dyDescent="0.2">
      <c r="A35" t="s">
        <v>516</v>
      </c>
      <c r="C35">
        <v>1167716.2</v>
      </c>
    </row>
    <row r="36" spans="1:3" x14ac:dyDescent="0.2">
      <c r="A36" t="s">
        <v>482</v>
      </c>
      <c r="C36">
        <v>273607.05</v>
      </c>
    </row>
    <row r="37" spans="1:3" x14ac:dyDescent="0.2">
      <c r="A37" t="s">
        <v>483</v>
      </c>
      <c r="C37">
        <v>933950.89999999991</v>
      </c>
    </row>
    <row r="38" spans="1:3" x14ac:dyDescent="0.2">
      <c r="A38" t="s">
        <v>484</v>
      </c>
      <c r="C38">
        <v>1249166.1000000001</v>
      </c>
    </row>
    <row r="39" spans="1:3" x14ac:dyDescent="0.2">
      <c r="A39" t="s">
        <v>517</v>
      </c>
      <c r="C39">
        <v>421533.45</v>
      </c>
    </row>
    <row r="40" spans="1:3" x14ac:dyDescent="0.2">
      <c r="A40" t="s">
        <v>518</v>
      </c>
      <c r="C40">
        <v>1096445.9500000002</v>
      </c>
    </row>
    <row r="41" spans="1:3" x14ac:dyDescent="0.2">
      <c r="A41" t="s">
        <v>519</v>
      </c>
      <c r="C41">
        <v>967429.85</v>
      </c>
    </row>
    <row r="42" spans="1:3" x14ac:dyDescent="0.2">
      <c r="A42" t="s">
        <v>520</v>
      </c>
      <c r="C42">
        <v>1082165.2499999998</v>
      </c>
    </row>
    <row r="43" spans="1:3" x14ac:dyDescent="0.2">
      <c r="A43" t="s">
        <v>521</v>
      </c>
      <c r="C43">
        <v>1301910.5000000002</v>
      </c>
    </row>
    <row r="44" spans="1:3" x14ac:dyDescent="0.2">
      <c r="A44" t="s">
        <v>522</v>
      </c>
      <c r="C44">
        <v>777392.85</v>
      </c>
    </row>
    <row r="45" spans="1:3" x14ac:dyDescent="0.2">
      <c r="A45" t="s">
        <v>480</v>
      </c>
      <c r="C45">
        <v>12474178.149999999</v>
      </c>
    </row>
    <row r="50" spans="1:2" x14ac:dyDescent="0.2">
      <c r="A50" s="23" t="s">
        <v>11</v>
      </c>
      <c r="B50" t="s">
        <v>511</v>
      </c>
    </row>
    <row r="51" spans="1:2" x14ac:dyDescent="0.2">
      <c r="A51" t="s">
        <v>18</v>
      </c>
      <c r="B51">
        <v>87</v>
      </c>
    </row>
    <row r="52" spans="1:2" x14ac:dyDescent="0.2">
      <c r="A52" t="s">
        <v>25</v>
      </c>
      <c r="B52">
        <v>73</v>
      </c>
    </row>
    <row r="53" spans="1:2" x14ac:dyDescent="0.2">
      <c r="A53" t="s">
        <v>54</v>
      </c>
      <c r="B53">
        <v>74</v>
      </c>
    </row>
    <row r="54" spans="1:2" x14ac:dyDescent="0.2">
      <c r="A54" t="s">
        <v>39</v>
      </c>
      <c r="B54">
        <v>49</v>
      </c>
    </row>
    <row r="55" spans="1:2" x14ac:dyDescent="0.2">
      <c r="A55" t="s">
        <v>30</v>
      </c>
      <c r="B55">
        <v>67</v>
      </c>
    </row>
    <row r="56" spans="1:2" x14ac:dyDescent="0.2">
      <c r="A56" t="s">
        <v>480</v>
      </c>
      <c r="B56">
        <v>350</v>
      </c>
    </row>
  </sheetData>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Qustion</vt:lpstr>
      <vt:lpstr>Sales Data</vt:lpstr>
      <vt:lpstr>Dashboard</vt:lpstr>
      <vt:lpstr>Advanced Formulas</vt:lpstr>
      <vt:lpstr>Data Analysis &amp; Summarization</vt:lpstr>
      <vt:lpstr>Conditional Formatting</vt:lpstr>
      <vt:lpstr>Insights &amp; Recommendations</vt:lpstr>
      <vt:lpstr>Pivot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Darshan patil</cp:lastModifiedBy>
  <dcterms:created xsi:type="dcterms:W3CDTF">2026-06-01T15:03:13Z</dcterms:created>
  <dcterms:modified xsi:type="dcterms:W3CDTF">2026-06-01T23:34:06Z</dcterms:modified>
</cp:coreProperties>
</file>